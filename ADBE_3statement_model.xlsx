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Historicals" sheetId="2" state="visible" r:id="rId2"/>
    <sheet xmlns:r="http://schemas.openxmlformats.org/officeDocument/2006/relationships" name="Assumptions" sheetId="3" state="visible" r:id="rId3"/>
    <sheet xmlns:r="http://schemas.openxmlformats.org/officeDocument/2006/relationships" name="IS" sheetId="4" state="visible" r:id="rId4"/>
    <sheet xmlns:r="http://schemas.openxmlformats.org/officeDocument/2006/relationships" name="CF_BS" sheetId="5" state="visible" r:id="rId5"/>
    <sheet xmlns:r="http://schemas.openxmlformats.org/officeDocument/2006/relationships" name="Valua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#,##0.0"/>
    <numFmt numFmtId="165" formatCode="&quot;$&quot;#,##0.00"/>
    <numFmt numFmtId="166" formatCode="0.0%"/>
    <numFmt numFmtId="167" formatCode="0.0&quot;x&quot;"/>
    <numFmt numFmtId="168" formatCode="0.000"/>
  </numFmts>
  <fonts count="9">
    <font>
      <name val="Calibri"/>
      <family val="2"/>
      <color theme="1"/>
      <sz val="11"/>
      <scheme val="minor"/>
    </font>
    <font>
      <b val="1"/>
      <color rgb="00203764"/>
      <sz val="14"/>
    </font>
    <font>
      <b val="1"/>
      <color rgb="00FFFFFF"/>
    </font>
    <font>
      <b val="1"/>
    </font>
    <font>
      <i val="1"/>
      <sz val="9"/>
    </font>
    <font>
      <b val="1"/>
      <color rgb="00203764"/>
      <sz val="16"/>
    </font>
    <font>
      <b val="1"/>
      <sz val="12"/>
    </font>
    <font>
      <b val="1"/>
      <color rgb="00203764"/>
      <sz val="11"/>
    </font>
    <font>
      <b val="1"/>
      <sz val="13"/>
    </font>
  </fonts>
  <fills count="5">
    <fill>
      <patternFill/>
    </fill>
    <fill>
      <patternFill patternType="gray125"/>
    </fill>
    <fill>
      <patternFill patternType="solid">
        <fgColor rgb="00203764"/>
      </patternFill>
    </fill>
    <fill>
      <patternFill patternType="solid">
        <fgColor rgb="00D9E2F3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165" fontId="3" fillId="0" borderId="0" pivotButton="0" quotePrefix="0" xfId="0"/>
    <xf numFmtId="165" fontId="0" fillId="0" borderId="0" pivotButton="0" quotePrefix="0" xfId="0"/>
    <xf numFmtId="166" fontId="3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167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3" fillId="3" borderId="0" pivotButton="0" quotePrefix="0" xfId="0"/>
    <xf numFmtId="165" fontId="0" fillId="4" borderId="0" pivotButton="0" quotePrefix="0" xfId="0"/>
    <xf numFmtId="164" fontId="0" fillId="4" borderId="0" pivotButton="0" quotePrefix="0" xfId="0"/>
    <xf numFmtId="3" fontId="0" fillId="4" borderId="0" pivotButton="0" quotePrefix="0" xfId="0"/>
    <xf numFmtId="166" fontId="0" fillId="4" borderId="0" pivotButton="0" quotePrefix="0" xfId="0"/>
    <xf numFmtId="2" fontId="0" fillId="4" borderId="0" pivotButton="0" quotePrefix="0" xfId="0"/>
    <xf numFmtId="166" fontId="0" fillId="0" borderId="0" pivotButton="0" quotePrefix="0" xfId="0"/>
    <xf numFmtId="3" fontId="3" fillId="0" borderId="0" pivotButton="0" quotePrefix="0" xfId="0"/>
    <xf numFmtId="0" fontId="4" fillId="0" borderId="0" pivotButton="0" quotePrefix="0" xfId="0"/>
    <xf numFmtId="164" fontId="3" fillId="0" borderId="0" pivotButton="0" quotePrefix="0" xfId="0"/>
    <xf numFmtId="167" fontId="3" fillId="0" borderId="0" pivotButton="0" quotePrefix="0" xfId="0"/>
    <xf numFmtId="168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46" customWidth="1" min="1" max="1"/>
    <col width="60" customWidth="1" min="2" max="2"/>
  </cols>
  <sheetData>
    <row r="1">
      <c r="A1" s="1" t="inlineStr">
        <is>
          <t>Adobe Inc. (NASDAQ: ADBE) — Equity Pitch</t>
        </is>
      </c>
    </row>
    <row r="2">
      <c r="A2" s="2" t="inlineStr">
        <is>
          <t>LONG — the market is pricing an AI disruption that the filings do not show</t>
        </is>
      </c>
    </row>
    <row r="3">
      <c r="A3" t="inlineStr">
        <is>
          <t>Archit Chawla · October 20, 2026 · All figures from SEC EDGAR filings unless noted; $ in millions except per-share</t>
        </is>
      </c>
    </row>
    <row r="5">
      <c r="A5" s="3" t="inlineStr">
        <is>
          <t>Recommendation</t>
        </is>
      </c>
    </row>
    <row r="6">
      <c r="A6" s="4" t="inlineStr">
        <is>
          <t>LONG / BUY</t>
        </is>
      </c>
    </row>
    <row r="7">
      <c r="A7" t="inlineStr">
        <is>
          <t>Target price</t>
        </is>
      </c>
      <c r="B7" s="5">
        <f>Valuation!$B$37</f>
        <v/>
      </c>
    </row>
    <row r="8">
      <c r="A8" t="inlineStr">
        <is>
          <t>Price (close, Oct 19, 2026)</t>
        </is>
      </c>
      <c r="B8" s="6">
        <f>Assumptions!$B$5</f>
        <v/>
      </c>
    </row>
    <row r="9">
      <c r="A9" t="inlineStr">
        <is>
          <t>Implied upside</t>
        </is>
      </c>
      <c r="B9" s="7">
        <f>Valuation!$B$39</f>
        <v/>
      </c>
    </row>
    <row r="10">
      <c r="A10" t="inlineStr">
        <is>
          <t>Street consensus</t>
        </is>
      </c>
      <c r="B10" t="inlineStr">
        <is>
          <t>Hold, avg target $272–284 (stockanalysis.com / MarketBeat, Oct 20, 2026)</t>
        </is>
      </c>
    </row>
    <row r="12">
      <c r="A12" s="3" t="inlineStr">
        <is>
          <t>Snapshot (LTM to Q3 FY2026)</t>
        </is>
      </c>
    </row>
    <row r="13">
      <c r="A13" t="inlineStr">
        <is>
          <t>Revenue (LTM)</t>
        </is>
      </c>
      <c r="B13" s="8">
        <f>Historicals!J5</f>
        <v/>
      </c>
    </row>
    <row r="14">
      <c r="A14" t="inlineStr">
        <is>
          <t>Free cash flow (LTM)</t>
        </is>
      </c>
      <c r="B14" s="8">
        <f>Historicals!J25</f>
        <v/>
      </c>
    </row>
    <row r="15">
      <c r="A15" t="inlineStr">
        <is>
          <t>Buybacks (FY2025)</t>
        </is>
      </c>
      <c r="B15" s="8">
        <f>Historicals!G24</f>
        <v/>
      </c>
    </row>
    <row r="16">
      <c r="A16" t="inlineStr">
        <is>
          <t>Shares outstanding (Sep 18, 2026)</t>
        </is>
      </c>
      <c r="B16" s="9">
        <f>Assumptions!$B$6</f>
        <v/>
      </c>
    </row>
    <row r="17">
      <c r="A17" t="inlineStr">
        <is>
          <t>EV / LTM EBITDA</t>
        </is>
      </c>
      <c r="B17" s="10">
        <f>Valuation!$B$10</f>
        <v/>
      </c>
    </row>
    <row r="18">
      <c r="A18" t="inlineStr">
        <is>
          <t>P / LTM FCF</t>
        </is>
      </c>
      <c r="B18" s="10">
        <f>Valuation!$B$11</f>
        <v/>
      </c>
    </row>
    <row r="20">
      <c r="A20" t="inlineStr">
        <is>
          <t>Contents: Historicals (EDGAR inputs) · Assumptions (every driver, with rationale) · IS · CF_BS (linked three-statement forecast, FY2026E–FY2028E) · Valuation (DCF, scenarios, sensitivity, multiples history).</t>
        </is>
      </c>
    </row>
    <row r="21">
      <c r="A21" t="inlineStr">
        <is>
          <t>Method in one line: FY2026E is built as 9M FY2026 actuals + a Q4 stub grown off Q4 FY2025; FY2027E–28E are driver-based; the balance sheet balances by construction and cash ties to the cash-flow statement in every year.</t>
        </is>
      </c>
    </row>
    <row r="22">
      <c r="A22" t="inlineStr">
        <is>
          <t>Disclaimer: independent student research project prepared for educational purposes. Not investment advice. Verify all figures against the underlying SEC filings before acting on them.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4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3" customWidth="1" min="10" max="10"/>
    <col width="15" customWidth="1" min="11" max="11"/>
  </cols>
  <sheetData>
    <row r="1">
      <c r="A1" s="11" t="inlineStr">
        <is>
          <t>Adobe Inc. (NASDAQ: ADBE) — Historical Financials</t>
        </is>
      </c>
    </row>
    <row r="2">
      <c r="A2" t="inlineStr">
        <is>
          <t>Source: SEC EDGAR company facts (CIK 0000796343), pulled 2026-10-20 via pull_data.py. Adobe's fiscal year ends the Friday nearest Nov 30 (FY2025 ended Nov 28, 2025). $ in millions; shares in millions. LTM = FY2025 − 9M FY2025 + 9M FY2026 (live formulas).</t>
        </is>
      </c>
    </row>
    <row r="4">
      <c r="A4" s="12" t="inlineStr"/>
      <c r="B4" s="12" t="inlineStr">
        <is>
          <t>EDGAR concept</t>
        </is>
      </c>
      <c r="C4" s="12" t="inlineStr">
        <is>
          <t>FY2021</t>
        </is>
      </c>
      <c r="D4" s="12" t="inlineStr">
        <is>
          <t>FY2022</t>
        </is>
      </c>
      <c r="E4" s="12" t="inlineStr">
        <is>
          <t>FY2023</t>
        </is>
      </c>
      <c r="F4" s="12" t="inlineStr">
        <is>
          <t>FY2024</t>
        </is>
      </c>
      <c r="G4" s="12" t="inlineStr">
        <is>
          <t>FY2025</t>
        </is>
      </c>
      <c r="H4" s="12" t="inlineStr">
        <is>
          <t>9M FY2025</t>
        </is>
      </c>
      <c r="I4" s="12" t="inlineStr">
        <is>
          <t>9M FY2026</t>
        </is>
      </c>
      <c r="J4" s="12" t="inlineStr">
        <is>
          <t>LTM to Q3 FY26</t>
        </is>
      </c>
      <c r="K4" s="12" t="inlineStr">
        <is>
          <t>Latest BS — Q3 FY26 (Aug 28, 2026)</t>
        </is>
      </c>
    </row>
    <row r="5">
      <c r="A5" t="inlineStr">
        <is>
          <t>Revenue</t>
        </is>
      </c>
      <c r="B5" t="inlineStr">
        <is>
          <t>Revenues</t>
        </is>
      </c>
      <c r="C5" s="8" t="n">
        <v>15785</v>
      </c>
      <c r="D5" s="8" t="n">
        <v>17606</v>
      </c>
      <c r="E5" s="8" t="n">
        <v>19409</v>
      </c>
      <c r="F5" s="8" t="n">
        <v>21505</v>
      </c>
      <c r="G5" s="8" t="n">
        <v>23769</v>
      </c>
      <c r="H5" s="8" t="n">
        <v>17575</v>
      </c>
      <c r="I5" s="8" t="n">
        <v>19776</v>
      </c>
      <c r="J5" s="8">
        <f>G5-H5+I5</f>
        <v/>
      </c>
    </row>
    <row r="6">
      <c r="A6" t="inlineStr">
        <is>
          <t>Cost of revenue</t>
        </is>
      </c>
      <c r="B6" t="inlineStr">
        <is>
          <t>CostOfRevenue</t>
        </is>
      </c>
      <c r="C6" s="8" t="n">
        <v>1865</v>
      </c>
      <c r="D6" s="8" t="n">
        <v>2165</v>
      </c>
      <c r="E6" s="8" t="n">
        <v>2354</v>
      </c>
      <c r="F6" s="8" t="n">
        <v>2358</v>
      </c>
      <c r="G6" s="8" t="n">
        <v>2551</v>
      </c>
      <c r="H6" s="8" t="n">
        <v>1902</v>
      </c>
      <c r="I6" s="8" t="n">
        <v>2142</v>
      </c>
      <c r="J6" s="8">
        <f>G6-H6+I6</f>
        <v/>
      </c>
    </row>
    <row r="7">
      <c r="A7" t="inlineStr">
        <is>
          <t>Gross profit</t>
        </is>
      </c>
      <c r="B7" t="inlineStr">
        <is>
          <t>GrossProfit</t>
        </is>
      </c>
      <c r="C7" s="8" t="n">
        <v>13920</v>
      </c>
      <c r="D7" s="8" t="n">
        <v>15441</v>
      </c>
      <c r="E7" s="8" t="n">
        <v>17055</v>
      </c>
      <c r="F7" s="8" t="n">
        <v>19147</v>
      </c>
      <c r="G7" s="8" t="n">
        <v>21218</v>
      </c>
      <c r="H7" s="8" t="n">
        <v>15673</v>
      </c>
      <c r="I7" s="8" t="n">
        <v>17634</v>
      </c>
      <c r="J7" s="8">
        <f>G7-H7+I7</f>
        <v/>
      </c>
    </row>
    <row r="8">
      <c r="A8" t="inlineStr">
        <is>
          <t>Research &amp; development</t>
        </is>
      </c>
      <c r="B8" t="inlineStr">
        <is>
          <t>ResearchAndDevelopmentExpense (software)</t>
        </is>
      </c>
      <c r="C8" s="8" t="n">
        <v>2540</v>
      </c>
      <c r="D8" s="8" t="n">
        <v>2987</v>
      </c>
      <c r="E8" s="8" t="n">
        <v>3473</v>
      </c>
      <c r="F8" s="8" t="n">
        <v>3944</v>
      </c>
      <c r="G8" s="8" t="n">
        <v>4294</v>
      </c>
      <c r="H8" s="8" t="n">
        <v>3196</v>
      </c>
      <c r="I8" s="8" t="n">
        <v>3596</v>
      </c>
      <c r="J8" s="8">
        <f>G8-H8+I8</f>
        <v/>
      </c>
    </row>
    <row r="9">
      <c r="A9" t="inlineStr">
        <is>
          <t>Sales &amp; marketing</t>
        </is>
      </c>
      <c r="B9" t="inlineStr">
        <is>
          <t>SellingAndMarketingExpense</t>
        </is>
      </c>
      <c r="C9" s="8" t="n">
        <v>4321</v>
      </c>
      <c r="D9" s="8" t="n">
        <v>4968</v>
      </c>
      <c r="E9" s="8" t="n">
        <v>5351</v>
      </c>
      <c r="F9" s="8" t="n">
        <v>5764</v>
      </c>
      <c r="G9" s="8" t="n">
        <v>6488</v>
      </c>
      <c r="H9" s="8" t="n">
        <v>4760</v>
      </c>
      <c r="I9" s="8" t="n">
        <v>5419</v>
      </c>
      <c r="J9" s="8">
        <f>G9-H9+I9</f>
        <v/>
      </c>
    </row>
    <row r="10">
      <c r="A10" t="inlineStr">
        <is>
          <t>General &amp; administrative</t>
        </is>
      </c>
      <c r="B10" t="inlineStr">
        <is>
          <t>GeneralAndAdministrativeExpense</t>
        </is>
      </c>
      <c r="C10" s="8" t="n">
        <v>1085</v>
      </c>
      <c r="D10" s="8" t="n">
        <v>1219</v>
      </c>
      <c r="E10" s="8" t="n">
        <v>1413</v>
      </c>
      <c r="F10" s="8" t="n">
        <v>1529</v>
      </c>
      <c r="G10" s="8" t="n">
        <v>1573</v>
      </c>
      <c r="H10" s="8" t="n">
        <v>1152</v>
      </c>
      <c r="I10" s="8" t="n">
        <v>1497</v>
      </c>
      <c r="J10" s="8">
        <f>G10-H10+I10</f>
        <v/>
      </c>
    </row>
    <row r="11">
      <c r="A11" t="inlineStr">
        <is>
          <t>Amortization of acquired intangibles</t>
        </is>
      </c>
      <c r="B11" t="inlineStr">
        <is>
          <t>Derived: OperatingExpenses − R&amp;D − S&amp;M − G&amp;A</t>
        </is>
      </c>
      <c r="C11" s="8" t="n">
        <v>172</v>
      </c>
      <c r="D11" s="8" t="n">
        <v>169</v>
      </c>
      <c r="E11" s="8" t="n">
        <v>168</v>
      </c>
      <c r="F11" s="8" t="n">
        <v>1169</v>
      </c>
      <c r="G11" s="8" t="n">
        <v>157</v>
      </c>
      <c r="H11" s="8" t="n">
        <v>120</v>
      </c>
      <c r="I11" s="8" t="n">
        <v>112</v>
      </c>
      <c r="J11" s="8">
        <f>G11-H11+I11</f>
        <v/>
      </c>
    </row>
    <row r="12">
      <c r="A12" t="inlineStr">
        <is>
          <t>Operating income</t>
        </is>
      </c>
      <c r="B12" t="inlineStr">
        <is>
          <t>OperatingIncomeLoss</t>
        </is>
      </c>
      <c r="C12" s="8" t="n">
        <v>5802</v>
      </c>
      <c r="D12" s="8" t="n">
        <v>6098</v>
      </c>
      <c r="E12" s="8" t="n">
        <v>6650</v>
      </c>
      <c r="F12" s="8" t="n">
        <v>6741</v>
      </c>
      <c r="G12" s="8" t="n">
        <v>8706</v>
      </c>
      <c r="H12" s="8" t="n">
        <v>6445</v>
      </c>
      <c r="I12" s="8" t="n">
        <v>7010</v>
      </c>
      <c r="J12" s="8">
        <f>G12-H12+I12</f>
        <v/>
      </c>
    </row>
    <row r="13">
      <c r="A13" t="inlineStr">
        <is>
          <t>Nonoperating income (expense), net</t>
        </is>
      </c>
      <c r="B13" t="inlineStr">
        <is>
          <t>NonoperatingIncomeExpense</t>
        </is>
      </c>
      <c r="C13" s="8" t="n">
        <v>-97</v>
      </c>
      <c r="D13" s="8" t="n">
        <v>-90</v>
      </c>
      <c r="E13" s="8" t="n">
        <v>149</v>
      </c>
      <c r="F13" s="8" t="n">
        <v>190</v>
      </c>
      <c r="G13" s="8" t="n">
        <v>28</v>
      </c>
      <c r="H13" s="8" t="n">
        <v>25</v>
      </c>
      <c r="I13" s="8" t="n">
        <v>7</v>
      </c>
      <c r="J13" s="8">
        <f>G13-H13+I13</f>
        <v/>
      </c>
    </row>
    <row r="14">
      <c r="A14" t="inlineStr">
        <is>
          <t>Income before taxes</t>
        </is>
      </c>
      <c r="B14" t="inlineStr">
        <is>
          <t>IncomeLossFromContinuingOperationsBeforeIncomeTaxes...</t>
        </is>
      </c>
      <c r="C14" s="8" t="n">
        <v>5705</v>
      </c>
      <c r="D14" s="8" t="n">
        <v>6008</v>
      </c>
      <c r="E14" s="8" t="n">
        <v>6799</v>
      </c>
      <c r="F14" s="8" t="n">
        <v>6931</v>
      </c>
      <c r="G14" s="8" t="n">
        <v>8734</v>
      </c>
      <c r="H14" s="8" t="n">
        <v>6470</v>
      </c>
      <c r="I14" s="8" t="n">
        <v>7017</v>
      </c>
      <c r="J14" s="8">
        <f>G14-H14+I14</f>
        <v/>
      </c>
    </row>
    <row r="15">
      <c r="A15" t="inlineStr">
        <is>
          <t>Income tax expense</t>
        </is>
      </c>
      <c r="B15" t="inlineStr">
        <is>
          <t>IncomeTaxExpenseBenefit</t>
        </is>
      </c>
      <c r="C15" s="8" t="n">
        <v>883</v>
      </c>
      <c r="D15" s="8" t="n">
        <v>1252</v>
      </c>
      <c r="E15" s="8" t="n">
        <v>1371</v>
      </c>
      <c r="F15" s="8" t="n">
        <v>1371</v>
      </c>
      <c r="G15" s="8" t="n">
        <v>1604</v>
      </c>
      <c r="H15" s="8" t="n">
        <v>1196</v>
      </c>
      <c r="I15" s="8" t="n">
        <v>1589</v>
      </c>
      <c r="J15" s="8">
        <f>G15-H15+I15</f>
        <v/>
      </c>
    </row>
    <row r="16">
      <c r="A16" t="inlineStr">
        <is>
          <t>Net income</t>
        </is>
      </c>
      <c r="B16" t="inlineStr">
        <is>
          <t>NetIncomeLoss</t>
        </is>
      </c>
      <c r="C16" s="8" t="n">
        <v>4822</v>
      </c>
      <c r="D16" s="8" t="n">
        <v>4756</v>
      </c>
      <c r="E16" s="8" t="n">
        <v>5428</v>
      </c>
      <c r="F16" s="8" t="n">
        <v>5560</v>
      </c>
      <c r="G16" s="8" t="n">
        <v>7130</v>
      </c>
      <c r="H16" s="8" t="n">
        <v>5274</v>
      </c>
      <c r="I16" s="8" t="n">
        <v>5428</v>
      </c>
      <c r="J16" s="8">
        <f>G16-H16+I16</f>
        <v/>
      </c>
    </row>
    <row r="17">
      <c r="A17" s="13" t="inlineStr">
        <is>
          <t>Diluted weighted-average shares</t>
        </is>
      </c>
      <c r="B17" t="inlineStr">
        <is>
          <t>WeightedAverageNumberOfDilutedSharesOutstanding (9M = mean of quarters)</t>
        </is>
      </c>
      <c r="C17" s="9" t="n">
        <v>481</v>
      </c>
      <c r="D17" s="9" t="n">
        <v>470.9</v>
      </c>
      <c r="E17" s="9" t="n">
        <v>459.1</v>
      </c>
      <c r="F17" s="9" t="n">
        <v>449.7</v>
      </c>
      <c r="G17" s="9" t="n">
        <v>427</v>
      </c>
      <c r="H17" s="9" t="n">
        <v>430.2</v>
      </c>
      <c r="I17" s="9" t="n">
        <v>402.9</v>
      </c>
      <c r="J17" s="9">
        <f>G17</f>
        <v/>
      </c>
    </row>
    <row r="18">
      <c r="A18" s="13" t="inlineStr">
        <is>
          <t>Diluted EPS (GAAP)</t>
        </is>
      </c>
      <c r="C18" s="6">
        <f>C16/C17</f>
        <v/>
      </c>
      <c r="D18" s="6">
        <f>D16/D17</f>
        <v/>
      </c>
      <c r="E18" s="6">
        <f>E16/E17</f>
        <v/>
      </c>
      <c r="F18" s="6">
        <f>F16/F17</f>
        <v/>
      </c>
      <c r="G18" s="6">
        <f>G16/G17</f>
        <v/>
      </c>
      <c r="H18" s="6">
        <f>H16/H17</f>
        <v/>
      </c>
      <c r="I18" s="6">
        <f>I16/I17</f>
        <v/>
      </c>
      <c r="J18" s="6">
        <f>J16/J17</f>
        <v/>
      </c>
    </row>
    <row r="20">
      <c r="A20" t="inlineStr">
        <is>
          <t>Depreciation &amp; amortization (CF stmt)</t>
        </is>
      </c>
      <c r="B20" t="inlineStr">
        <is>
          <t>DepreciationDepletionAndAmortization</t>
        </is>
      </c>
      <c r="C20" s="8" t="n">
        <v>788</v>
      </c>
      <c r="D20" s="8" t="n">
        <v>856</v>
      </c>
      <c r="E20" s="8" t="n">
        <v>872</v>
      </c>
      <c r="F20" s="8" t="n">
        <v>857</v>
      </c>
      <c r="G20" s="8" t="n">
        <v>818</v>
      </c>
      <c r="H20" s="8" t="n">
        <v>634</v>
      </c>
      <c r="I20" s="8" t="n">
        <v>582</v>
      </c>
      <c r="J20" s="8">
        <f>G20-H20+I20</f>
        <v/>
      </c>
    </row>
    <row r="21">
      <c r="A21" t="inlineStr">
        <is>
          <t>Stock-based compensation</t>
        </is>
      </c>
      <c r="B21" t="inlineStr">
        <is>
          <t>ShareBasedCompensation</t>
        </is>
      </c>
      <c r="C21" s="8" t="n">
        <v>1069</v>
      </c>
      <c r="D21" s="8" t="n">
        <v>1440</v>
      </c>
      <c r="E21" s="8" t="n">
        <v>1718</v>
      </c>
      <c r="F21" s="8" t="n">
        <v>1833</v>
      </c>
      <c r="G21" s="8" t="n">
        <v>1942</v>
      </c>
      <c r="H21" s="8" t="n">
        <v>1453</v>
      </c>
      <c r="I21" s="8" t="n">
        <v>1582</v>
      </c>
      <c r="J21" s="8">
        <f>G21-H21+I21</f>
        <v/>
      </c>
    </row>
    <row r="22">
      <c r="A22" t="inlineStr">
        <is>
          <t>Cash flow from operations</t>
        </is>
      </c>
      <c r="B22" t="inlineStr">
        <is>
          <t>NetCashProvidedByUsedInOperatingActivities</t>
        </is>
      </c>
      <c r="C22" s="8" t="n">
        <v>7230</v>
      </c>
      <c r="D22" s="8" t="n">
        <v>7838</v>
      </c>
      <c r="E22" s="8" t="n">
        <v>7302</v>
      </c>
      <c r="F22" s="8" t="n">
        <v>8056</v>
      </c>
      <c r="G22" s="8" t="n">
        <v>10031</v>
      </c>
      <c r="H22" s="8" t="n">
        <v>6871</v>
      </c>
      <c r="I22" s="8" t="n">
        <v>7646</v>
      </c>
      <c r="J22" s="8">
        <f>G22-H22+I22</f>
        <v/>
      </c>
    </row>
    <row r="23">
      <c r="A23" t="inlineStr">
        <is>
          <t>Capital expenditures</t>
        </is>
      </c>
      <c r="B23" t="inlineStr">
        <is>
          <t>PaymentsToAcquirePropertyPlantAndEquipment</t>
        </is>
      </c>
      <c r="C23" s="8" t="n">
        <v>348</v>
      </c>
      <c r="D23" s="8" t="n">
        <v>442</v>
      </c>
      <c r="E23" s="8" t="n">
        <v>360</v>
      </c>
      <c r="F23" s="8" t="n">
        <v>183</v>
      </c>
      <c r="G23" s="8" t="n">
        <v>179</v>
      </c>
      <c r="H23" s="8" t="n">
        <v>145</v>
      </c>
      <c r="I23" s="8" t="n">
        <v>180</v>
      </c>
      <c r="J23" s="8">
        <f>G23-H23+I23</f>
        <v/>
      </c>
    </row>
    <row r="24">
      <c r="A24" t="inlineStr">
        <is>
          <t>Common stock repurchases</t>
        </is>
      </c>
      <c r="B24" t="inlineStr">
        <is>
          <t>PaymentsForRepurchaseOfCommonStock</t>
        </is>
      </c>
      <c r="C24" s="8" t="n">
        <v>3950</v>
      </c>
      <c r="D24" s="8" t="n">
        <v>6550</v>
      </c>
      <c r="E24" s="8" t="n">
        <v>4400</v>
      </c>
      <c r="F24" s="8" t="n">
        <v>9500</v>
      </c>
      <c r="G24" s="8" t="n">
        <v>11281</v>
      </c>
      <c r="H24" s="8" t="n">
        <v>8807</v>
      </c>
      <c r="I24" s="8" t="n">
        <v>6821</v>
      </c>
      <c r="J24" s="8">
        <f>G24-H24+I24</f>
        <v/>
      </c>
    </row>
    <row r="25">
      <c r="A25" s="13" t="inlineStr">
        <is>
          <t>Free cash flow (CFO − capex)</t>
        </is>
      </c>
      <c r="C25" s="8">
        <f>C22-C23</f>
        <v/>
      </c>
      <c r="D25" s="8">
        <f>D22-D23</f>
        <v/>
      </c>
      <c r="E25" s="8">
        <f>E22-E23</f>
        <v/>
      </c>
      <c r="F25" s="8">
        <f>F22-F23</f>
        <v/>
      </c>
      <c r="G25" s="8">
        <f>G22-G23</f>
        <v/>
      </c>
      <c r="H25" s="8">
        <f>H22-H23</f>
        <v/>
      </c>
      <c r="I25" s="8">
        <f>I22-I23</f>
        <v/>
      </c>
      <c r="J25" s="8">
        <f>J22-J23</f>
        <v/>
      </c>
    </row>
    <row r="26">
      <c r="A26" s="13" t="inlineStr">
        <is>
          <t>EBITDA (operating income + D&amp;A)</t>
        </is>
      </c>
      <c r="C26" s="8">
        <f>C12+C20</f>
        <v/>
      </c>
      <c r="D26" s="8">
        <f>D12+D20</f>
        <v/>
      </c>
      <c r="E26" s="8">
        <f>E12+E20</f>
        <v/>
      </c>
      <c r="F26" s="8">
        <f>F12+F20</f>
        <v/>
      </c>
      <c r="G26" s="8">
        <f>G12+G20</f>
        <v/>
      </c>
      <c r="H26" s="8">
        <f>H12+H20</f>
        <v/>
      </c>
      <c r="I26" s="8">
        <f>I12+I20</f>
        <v/>
      </c>
      <c r="J26" s="8">
        <f>J12+J20</f>
        <v/>
      </c>
    </row>
    <row r="28">
      <c r="A28" t="inlineStr">
        <is>
          <t>Cash &amp; equivalents</t>
        </is>
      </c>
      <c r="B28" t="inlineStr">
        <is>
          <t>CashAndCashEquivalentsAtCarryingValue</t>
        </is>
      </c>
      <c r="C28" s="8" t="n">
        <v>3844</v>
      </c>
      <c r="D28" s="8" t="n">
        <v>4236</v>
      </c>
      <c r="E28" s="8" t="n">
        <v>7141</v>
      </c>
      <c r="F28" s="8" t="n">
        <v>7613</v>
      </c>
      <c r="G28" s="8" t="n">
        <v>5431</v>
      </c>
      <c r="K28" s="8" t="n">
        <v>4359</v>
      </c>
    </row>
    <row r="29">
      <c r="A29" t="inlineStr">
        <is>
          <t>Short-term investments</t>
        </is>
      </c>
      <c r="B29" t="inlineStr">
        <is>
          <t>ShortTermInvestments</t>
        </is>
      </c>
      <c r="C29" s="8" t="n">
        <v>1954</v>
      </c>
      <c r="D29" s="8" t="n">
        <v>1860</v>
      </c>
      <c r="E29" s="8" t="n">
        <v>701</v>
      </c>
      <c r="F29" s="8" t="n">
        <v>273</v>
      </c>
      <c r="G29" s="8" t="n">
        <v>1164</v>
      </c>
      <c r="K29" s="8" t="n">
        <v>1280</v>
      </c>
    </row>
    <row r="30">
      <c r="A30" t="inlineStr">
        <is>
          <t>Trade receivables, net</t>
        </is>
      </c>
      <c r="B30" t="inlineStr">
        <is>
          <t>AccountsReceivableNetCurrent</t>
        </is>
      </c>
      <c r="C30" s="8" t="n">
        <v>1878</v>
      </c>
      <c r="D30" s="8" t="n">
        <v>2065</v>
      </c>
      <c r="E30" s="8" t="n">
        <v>2224</v>
      </c>
      <c r="F30" s="8" t="n">
        <v>2072</v>
      </c>
      <c r="G30" s="8" t="n">
        <v>2344</v>
      </c>
      <c r="K30" s="8" t="n">
        <v>2081</v>
      </c>
    </row>
    <row r="31">
      <c r="A31" t="inlineStr">
        <is>
          <t>Total assets</t>
        </is>
      </c>
      <c r="B31" t="inlineStr">
        <is>
          <t>Assets</t>
        </is>
      </c>
      <c r="C31" s="8" t="n">
        <v>27241</v>
      </c>
      <c r="D31" s="8" t="n">
        <v>27165</v>
      </c>
      <c r="E31" s="8" t="n">
        <v>29779</v>
      </c>
      <c r="F31" s="8" t="n">
        <v>30230</v>
      </c>
      <c r="G31" s="8" t="n">
        <v>29496</v>
      </c>
      <c r="K31" s="8" t="n">
        <v>29981</v>
      </c>
    </row>
    <row r="32">
      <c r="A32" t="inlineStr">
        <is>
          <t>Long-term debt</t>
        </is>
      </c>
      <c r="B32" t="inlineStr">
        <is>
          <t>LongTermDebt</t>
        </is>
      </c>
      <c r="C32" s="8" t="n">
        <v>4123</v>
      </c>
      <c r="D32" s="8" t="n">
        <v>3629</v>
      </c>
      <c r="E32" s="8" t="n">
        <v>3634</v>
      </c>
      <c r="F32" s="8" t="n">
        <v>4129</v>
      </c>
      <c r="G32" s="8" t="n">
        <v>6210</v>
      </c>
      <c r="K32" s="8" t="n">
        <v>4766</v>
      </c>
    </row>
    <row r="33">
      <c r="A33" t="inlineStr">
        <is>
          <t>Current debt</t>
        </is>
      </c>
      <c r="B33" t="inlineStr">
        <is>
          <t>DebtCurrent</t>
        </is>
      </c>
      <c r="C33" s="8" t="n">
        <v>0</v>
      </c>
      <c r="D33" s="8" t="n">
        <v>500</v>
      </c>
      <c r="E33" s="8" t="n">
        <v>0</v>
      </c>
      <c r="F33" s="8" t="n">
        <v>1499</v>
      </c>
      <c r="G33" s="8" t="n">
        <v>0</v>
      </c>
      <c r="K33" s="8" t="n">
        <v>1597</v>
      </c>
    </row>
    <row r="34">
      <c r="A34" t="inlineStr">
        <is>
          <t>Deferred revenue (current)</t>
        </is>
      </c>
      <c r="B34" t="inlineStr">
        <is>
          <t>ContractWithCustomerLiabilityCurrent</t>
        </is>
      </c>
      <c r="C34" s="8" t="n">
        <v>4733</v>
      </c>
      <c r="D34" s="8" t="n">
        <v>5297</v>
      </c>
      <c r="E34" s="8" t="n">
        <v>5837</v>
      </c>
      <c r="F34" s="8" t="n">
        <v>6131</v>
      </c>
      <c r="G34" s="8" t="n">
        <v>6905</v>
      </c>
      <c r="K34" s="8" t="n">
        <v>7094</v>
      </c>
    </row>
    <row r="35">
      <c r="A35" t="inlineStr">
        <is>
          <t>Total liabilities</t>
        </is>
      </c>
      <c r="B35" t="inlineStr">
        <is>
          <t>Liabilities</t>
        </is>
      </c>
      <c r="C35" s="8" t="n">
        <v>12444</v>
      </c>
      <c r="D35" s="8" t="n">
        <v>13114</v>
      </c>
      <c r="E35" s="8" t="n">
        <v>13261</v>
      </c>
      <c r="F35" s="8" t="n">
        <v>16125</v>
      </c>
      <c r="G35" s="8" t="n">
        <v>17873</v>
      </c>
      <c r="K35" s="8" t="n">
        <v>18217</v>
      </c>
    </row>
    <row r="36">
      <c r="A36" t="inlineStr">
        <is>
          <t>Total stockholders' equity</t>
        </is>
      </c>
      <c r="B36" t="inlineStr">
        <is>
          <t>StockholdersEquity</t>
        </is>
      </c>
      <c r="C36" s="8" t="n">
        <v>14797</v>
      </c>
      <c r="D36" s="8" t="n">
        <v>14051</v>
      </c>
      <c r="E36" s="8" t="n">
        <v>16518</v>
      </c>
      <c r="F36" s="8" t="n">
        <v>14105</v>
      </c>
      <c r="G36" s="8" t="n">
        <v>11623</v>
      </c>
      <c r="K36" s="8" t="n">
        <v>11764</v>
      </c>
    </row>
    <row r="37">
      <c r="A37" s="13" t="inlineStr">
        <is>
          <t>Total debt (LT + current)</t>
        </is>
      </c>
      <c r="C37" s="8">
        <f>C32+C33</f>
        <v/>
      </c>
      <c r="D37" s="8">
        <f>D32+D33</f>
        <v/>
      </c>
      <c r="E37" s="8">
        <f>E32+E33</f>
        <v/>
      </c>
      <c r="F37" s="8">
        <f>F32+F33</f>
        <v/>
      </c>
      <c r="G37" s="8">
        <f>G32+G33</f>
        <v/>
      </c>
      <c r="K37" s="8">
        <f>K32+K33</f>
        <v/>
      </c>
    </row>
    <row r="38">
      <c r="A38" s="13" t="inlineStr">
        <is>
          <t>Shares outstanding (period end)</t>
        </is>
      </c>
      <c r="B38" t="inlineStr">
        <is>
          <t>dei EntityCommonStockSharesOutstanding — 10-K cover dates for FY23–FY25; Q3 FY26 10-Q cover (Sep 18, 2026) in Latest column</t>
        </is>
      </c>
      <c r="E38" s="9" t="n">
        <v>452</v>
      </c>
      <c r="F38" s="9" t="n">
        <v>435.3</v>
      </c>
      <c r="G38" s="9" t="n">
        <v>410.5</v>
      </c>
      <c r="K38" s="9" t="n">
        <v>389.2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0"/>
  <sheetViews>
    <sheetView workbookViewId="0">
      <selection activeCell="A1" sqref="A1"/>
    </sheetView>
  </sheetViews>
  <sheetFormatPr baseColWidth="8" defaultRowHeight="15"/>
  <cols>
    <col width="46" customWidth="1" min="1" max="1"/>
    <col width="14" customWidth="1" min="2" max="2"/>
    <col width="32" customWidth="1" min="3" max="3"/>
    <col width="14" customWidth="1" min="4" max="4"/>
    <col width="95" customWidth="1" min="5" max="5"/>
  </cols>
  <sheetData>
    <row r="1">
      <c r="A1" s="11" t="inlineStr">
        <is>
          <t>Assumptions — every yellow cell is an input; the rationale is stated next to it</t>
        </is>
      </c>
    </row>
    <row r="3">
      <c r="A3" s="12" t="inlineStr">
        <is>
          <t>Assumption</t>
        </is>
      </c>
      <c r="B3" s="12" t="inlineStr">
        <is>
          <t>Value</t>
        </is>
      </c>
      <c r="C3" s="12" t="inlineStr">
        <is>
          <t>Source / rationale</t>
        </is>
      </c>
    </row>
    <row r="4">
      <c r="A4" s="14" t="inlineStr">
        <is>
          <t>MARKET (as of Oct 20, 2026)</t>
        </is>
      </c>
    </row>
    <row r="5">
      <c r="A5" t="inlineStr">
        <is>
          <t>Share price — close, Mon Oct 19, 2026 ($)</t>
        </is>
      </c>
      <c r="B5" s="15" t="n">
        <v>247.09</v>
      </c>
      <c r="C5" t="inlineStr">
        <is>
          <t>MarketBeat price history and Finnhub quote, retrieved Oct 20, 2026; corroborated by stockanalysis.com (close Oct 19, 2026, 4:00 PM ET). Stooq CSV was JS-blocked.</t>
        </is>
      </c>
    </row>
    <row r="6">
      <c r="A6" t="inlineStr">
        <is>
          <t>Shares outstanding (M) — Sep 18, 2026</t>
        </is>
      </c>
      <c r="B6" s="16" t="n">
        <v>389.2</v>
      </c>
      <c r="C6" t="inlineStr">
        <is>
          <t>SEC EDGAR dei EntityCommonStockSharesOutstanding, Q3 FY2026 10-Q cover (filed Sep 22, 2026). Market cap at the close: $96.2B (247.09 × 389.2M).</t>
        </is>
      </c>
    </row>
    <row r="7">
      <c r="A7" t="inlineStr">
        <is>
          <t>Net debt at Q3 FY26 ($M) — debt less cash &amp; ST investments</t>
        </is>
      </c>
      <c r="B7" s="17">
        <f>Historicals!K37-Historicals!K28-Historicals!K29</f>
        <v/>
      </c>
      <c r="C7" t="inlineStr">
        <is>
          <t>Formula from Historicals (Q3 FY2026 balance sheet, Aug 28, 2026): total debt $6,363M − cash $4,359M − ST investments $1,280M = $724M net debt — Adobe is essentially net-debt neutral.</t>
        </is>
      </c>
    </row>
    <row r="9">
      <c r="A9" s="14" t="inlineStr">
        <is>
          <t>Q4 FY2026E BUILD — FY2026E = 9M FY2026 actual + Q4 estimate. Q4 FY2025A is derived (FY2025 − 9M FY2025, formulas).</t>
        </is>
      </c>
    </row>
    <row r="10">
      <c r="A10" s="13" t="inlineStr"/>
      <c r="B10" s="13" t="inlineStr">
        <is>
          <t>Q4 FY25A</t>
        </is>
      </c>
      <c r="C10" s="13" t="inlineStr">
        <is>
          <t>Growth / input</t>
        </is>
      </c>
      <c r="D10" s="13" t="inlineStr">
        <is>
          <t>Q4 FY26E</t>
        </is>
      </c>
      <c r="E10" s="13" t="inlineStr">
        <is>
          <t>Rationale</t>
        </is>
      </c>
    </row>
    <row r="11">
      <c r="A11" t="inlineStr">
        <is>
          <t>Revenue</t>
        </is>
      </c>
      <c r="B11" s="8">
        <f>Historicals!G5-Historicals!H5</f>
        <v/>
      </c>
      <c r="C11" s="18" t="n">
        <v>0.12</v>
      </c>
      <c r="D11" s="8">
        <f>B11*(1+C11)</f>
        <v/>
      </c>
      <c r="E11" t="inlineStr">
        <is>
          <t>Q1–Q3 FY26 grew +12.0%/+12.7%/+12.9% YoY; Q4 guided confidently (non-GAAP EPS guide $6.30–6.35). I use +12.0% — no further acceleration assumed.</t>
        </is>
      </c>
    </row>
    <row r="12">
      <c r="A12" t="inlineStr">
        <is>
          <t>Cost of revenue</t>
        </is>
      </c>
      <c r="B12" s="8">
        <f>Historicals!G6-Historicals!H6</f>
        <v/>
      </c>
      <c r="C12" s="18" t="n">
        <v>0.13</v>
      </c>
      <c r="D12" s="8">
        <f>B12*(1+C12)</f>
        <v/>
      </c>
      <c r="E12" t="inlineStr">
        <is>
          <t>AI inference/hosting costs growing slightly faster than revenue, as in 9M FY26 (CoR +13% YoY).</t>
        </is>
      </c>
    </row>
    <row r="13">
      <c r="A13" t="inlineStr">
        <is>
          <t>Research &amp; development</t>
        </is>
      </c>
      <c r="B13" s="8">
        <f>Historicals!G8-Historicals!H8</f>
        <v/>
      </c>
      <c r="C13" s="18" t="n">
        <v>0.12</v>
      </c>
      <c r="D13" s="8">
        <f>B13*(1+C13)</f>
        <v/>
      </c>
      <c r="E13" t="inlineStr">
        <is>
          <t>In line with 9M FY26 R&amp;D growth (+13% YoY) and continued Firefly/AI investment.</t>
        </is>
      </c>
    </row>
    <row r="14">
      <c r="A14" t="inlineStr">
        <is>
          <t>Sales &amp; marketing</t>
        </is>
      </c>
      <c r="B14" s="8">
        <f>Historicals!G9-Historicals!H9</f>
        <v/>
      </c>
      <c r="C14" s="18" t="n">
        <v>0.11</v>
      </c>
      <c r="D14" s="8">
        <f>B14*(1+C14)</f>
        <v/>
      </c>
      <c r="E14" t="inlineStr">
        <is>
          <t>Below revenue growth — modest leverage, consistent with 9M FY26.</t>
        </is>
      </c>
    </row>
    <row r="15">
      <c r="A15" t="inlineStr">
        <is>
          <t>General &amp; administrative</t>
        </is>
      </c>
      <c r="B15" s="8">
        <f>Historicals!G10-Historicals!H10</f>
        <v/>
      </c>
      <c r="C15" s="18" t="n">
        <v>0.05</v>
      </c>
      <c r="D15" s="8">
        <f>B15*(1+C15)</f>
        <v/>
      </c>
      <c r="E15" t="inlineStr">
        <is>
          <t>G&amp;A ran hot in 9M FY26 (+13% YoY on deal/legal costs); I normalize Q4 growth to +5%.</t>
        </is>
      </c>
    </row>
    <row r="16">
      <c r="A16" t="inlineStr">
        <is>
          <t>Amortization of acquired intangibles</t>
        </is>
      </c>
      <c r="B16" s="8">
        <f>Historicals!G11-Historicals!H11</f>
        <v/>
      </c>
      <c r="D16" s="17" t="n">
        <v>40</v>
      </c>
      <c r="E16" t="inlineStr">
        <is>
          <t>Derived IS amortization was $157M in FY2025 and is declining as acquired intangibles roll off (9M FY26: ~$112M); Q4 stub of $40M.</t>
        </is>
      </c>
    </row>
    <row r="17">
      <c r="A17" t="inlineStr">
        <is>
          <t>Nonoperating income, net</t>
        </is>
      </c>
      <c r="B17" s="8">
        <f>Historicals!G13-Historicals!H13</f>
        <v/>
      </c>
      <c r="D17" s="17" t="n">
        <v>45</v>
      </c>
      <c r="E17" t="inlineStr">
        <is>
          <t>Interest income on ~$5.6B cash/STI roughly offsets interest on $6.4B of notes; 9M FY26 net was +$7M.</t>
        </is>
      </c>
    </row>
    <row r="18">
      <c r="A18" t="inlineStr">
        <is>
          <t>Stock-based compensation</t>
        </is>
      </c>
      <c r="B18" s="8">
        <f>Historicals!G21-Historicals!H21</f>
        <v/>
      </c>
      <c r="D18" s="17" t="n">
        <v>520</v>
      </c>
      <c r="E18" t="inlineStr">
        <is>
          <t>Q4 FY25 SBC was $485M (FY25 $1,938M − 9M $1,453M); +7% YoY in line with headcount/comp drift.</t>
        </is>
      </c>
    </row>
    <row r="19">
      <c r="A19" t="inlineStr">
        <is>
          <t>Depreciation &amp; amortization (CF)</t>
        </is>
      </c>
      <c r="B19" s="8">
        <f>Historicals!G20-Historicals!H20</f>
        <v/>
      </c>
      <c r="D19" s="17" t="n">
        <v>210</v>
      </c>
      <c r="E19" t="inlineStr">
        <is>
          <t>9M FY26 D&amp;A was $582M (EDGAR YTD); Q4 run-rate ~$200M/quarter.</t>
        </is>
      </c>
    </row>
    <row r="20">
      <c r="A20" t="inlineStr">
        <is>
          <t>Capital expenditures</t>
        </is>
      </c>
      <c r="B20" s="8">
        <f>Historicals!G23-Historicals!H23</f>
        <v/>
      </c>
      <c r="D20" s="17" t="n">
        <v>55</v>
      </c>
      <c r="E20" t="inlineStr">
        <is>
          <t>Capex is minimal at Adobe (FY25: $183M, 0.8% of revenue); 9M FY26 was $180M incl. facilities fit-out.</t>
        </is>
      </c>
    </row>
    <row r="21">
      <c r="A21" t="inlineStr">
        <is>
          <t>Common stock repurchases</t>
        </is>
      </c>
      <c r="B21" s="8">
        <f>Historicals!G24-Historicals!H24</f>
        <v/>
      </c>
      <c r="D21" s="17" t="n">
        <v>2600</v>
      </c>
      <c r="E21" t="inlineStr">
        <is>
          <t>9M FY26 repurchases were $6,821M (~$2.3B/qtr); Q4 is seasonally the largest FCF quarter — $2.6B assumed.</t>
        </is>
      </c>
    </row>
    <row r="22">
      <c r="A22" t="inlineStr">
        <is>
          <t>Q4 FY26E effective tax rate</t>
        </is>
      </c>
      <c r="B22" s="18" t="n">
        <v>0.19</v>
      </c>
      <c r="C22" t="inlineStr">
        <is>
          <t>Q4 FY25 ETR was ~28% on discrete items; 9M FY26 ETR was 22.6%. I use 19% for the Q4 stub — near the FY25 full-year rate of 18.3%.</t>
        </is>
      </c>
    </row>
    <row r="23">
      <c r="A23" t="inlineStr">
        <is>
          <t>Q4 FY26E diluted shares (M)</t>
        </is>
      </c>
      <c r="B23" s="16" t="n">
        <v>383</v>
      </c>
      <c r="C23" t="inlineStr">
        <is>
          <t>Share count fell from 410.8M (Q1 WA) to 395.5M (Q3 WA) during FY26; Q4 buybacks continue the decline.</t>
        </is>
      </c>
    </row>
    <row r="25">
      <c r="A25" s="14" t="inlineStr">
        <is>
          <t>FORECAST DRIVERS — FY2026E / FY2027E / FY2028E</t>
        </is>
      </c>
    </row>
    <row r="26">
      <c r="B26" s="13" t="inlineStr">
        <is>
          <t>FY26E</t>
        </is>
      </c>
      <c r="C26" s="13" t="inlineStr">
        <is>
          <t>FY27E</t>
        </is>
      </c>
      <c r="D26" s="13" t="inlineStr">
        <is>
          <t>FY28E</t>
        </is>
      </c>
      <c r="E26" s="13" t="inlineStr">
        <is>
          <t>Rationale</t>
        </is>
      </c>
    </row>
    <row r="27">
      <c r="A27" t="inlineStr">
        <is>
          <t>Trade receivables, % of revenue</t>
        </is>
      </c>
      <c r="B27" s="18" t="n">
        <v>0.097</v>
      </c>
      <c r="C27" s="18" t="n">
        <v>0.097</v>
      </c>
      <c r="D27" s="18" t="n">
        <v>0.097</v>
      </c>
      <c r="E27" t="inlineStr">
        <is>
          <t>FY25 actual: 9.9% of revenue (receivables are seasonally highest at the Nov year-end). Held flat.</t>
        </is>
      </c>
    </row>
    <row r="28">
      <c r="A28" t="inlineStr">
        <is>
          <t>Deferred revenue (current) growth</t>
        </is>
      </c>
      <c r="B28" s="18" t="n">
        <v>0.1</v>
      </c>
      <c r="C28" s="18" t="n">
        <v>0.1</v>
      </c>
      <c r="D28" s="18" t="n">
        <v>0.1</v>
      </c>
      <c r="E28" t="inlineStr">
        <is>
          <t>Deferred revenue grew +12.7% in FY25 and tracks subscription bookings; I grow it slightly below revenue growth.</t>
        </is>
      </c>
    </row>
    <row r="29">
      <c r="A29" t="inlineStr">
        <is>
          <t>Total debt, year-end ($M)</t>
        </is>
      </c>
      <c r="B29" s="17" t="n">
        <v>6250</v>
      </c>
      <c r="E29" t="inlineStr">
        <is>
          <t>FY26E year-end input: Q3 FY26 actual total debt was $6,363M; assumes ~$113M net repayment in Q4. FY27E/FY28E use the change row below.</t>
        </is>
      </c>
    </row>
    <row r="30">
      <c r="A30" t="inlineStr">
        <is>
          <t>Total debt change ($M)</t>
        </is>
      </c>
      <c r="C30" s="17" t="n">
        <v>-250</v>
      </c>
      <c r="D30" s="17" t="n">
        <v>-250</v>
      </c>
      <c r="E30" t="inlineStr">
        <is>
          <t>Maturing notes repaid from cash flow; no new issuance assumed — Adobe has no funding need.</t>
        </is>
      </c>
    </row>
    <row r="31">
      <c r="A31" t="inlineStr">
        <is>
          <t>Average repurchase price ($)</t>
        </is>
      </c>
      <c r="B31" s="15" t="n">
        <v>265</v>
      </c>
      <c r="C31" s="15" t="n">
        <v>300</v>
      </c>
      <c r="D31" s="15" t="n">
        <v>340</v>
      </c>
      <c r="E31" t="inlineStr">
        <is>
          <t>Blended FY26 average ~$265 (the stock fell through the year: Q3 10-Q cover count implies heavy H2 buying at lower prices); FY27/28 assume prices recover toward — but stay below — my target, which is conservative for share-count decline.</t>
        </is>
      </c>
    </row>
    <row r="32">
      <c r="A32" t="inlineStr">
        <is>
          <t>Shares issued for equity comp (M)</t>
        </is>
      </c>
      <c r="B32" s="16" t="n">
        <v>6</v>
      </c>
      <c r="C32" s="16" t="n">
        <v>6</v>
      </c>
      <c r="D32" s="16" t="n">
        <v>6</v>
      </c>
      <c r="E32" t="inlineStr">
        <is>
          <t>Gross issuance under equity plans before repurchases; roughly offsets ~15% of the buyback share reduction.</t>
        </is>
      </c>
    </row>
    <row r="33">
      <c r="A33" t="inlineStr">
        <is>
          <t>Revenue growth</t>
        </is>
      </c>
      <c r="C33" s="18" t="n">
        <v>0.11</v>
      </c>
      <c r="D33" s="18" t="n">
        <v>0.105</v>
      </c>
      <c r="E33" t="inlineStr">
        <is>
          <t>FY26E grows +12.4% (9M actual + Q4E). I fade growth slowly — +11.0%, then +10.5% — below the FY26 run-rate; no AI-driven re-acceleration is assumed, which keeps the pitch honest.</t>
        </is>
      </c>
    </row>
    <row r="34">
      <c r="A34" t="inlineStr">
        <is>
          <t>Gross margin</t>
        </is>
      </c>
      <c r="C34" s="18" t="n">
        <v>0.892</v>
      </c>
      <c r="D34" s="18" t="n">
        <v>0.893</v>
      </c>
      <c r="E34" t="inlineStr">
        <is>
          <t>FY25: 89.3%; 9M FY26: 89.2%. AI inference costs pressure, mix (Document Cloud, enterprise) offsets. Held ~flat.</t>
        </is>
      </c>
    </row>
    <row r="35">
      <c r="A35" t="inlineStr">
        <is>
          <t>R&amp;D, % of revenue</t>
        </is>
      </c>
      <c r="C35" s="18" t="n">
        <v>0.18</v>
      </c>
      <c r="D35" s="18" t="n">
        <v>0.179</v>
      </c>
      <c r="E35" t="inlineStr">
        <is>
          <t>FY25: 18.0%; 9M FY26: 18.2%. AI product investment stays elevated; slight leverage by FY28.</t>
        </is>
      </c>
    </row>
    <row r="36">
      <c r="A36" t="inlineStr">
        <is>
          <t>Sales &amp; marketing, % of revenue</t>
        </is>
      </c>
      <c r="C36" s="18" t="n">
        <v>0.27</v>
      </c>
      <c r="D36" s="18" t="n">
        <v>0.267</v>
      </c>
      <c r="E36" t="inlineStr">
        <is>
          <t>FY25: 27.3%; 9M FY26: 27.4%. Modest leverage as self-serve/PLG mix grows.</t>
        </is>
      </c>
    </row>
    <row r="37">
      <c r="A37" t="inlineStr">
        <is>
          <t>General &amp; administrative, % of revenue</t>
        </is>
      </c>
      <c r="C37" s="18" t="n">
        <v>0.068</v>
      </c>
      <c r="D37" s="18" t="n">
        <v>0.067</v>
      </c>
      <c r="E37" t="inlineStr">
        <is>
          <t>FY25: 6.6%; 9M FY26 ran at 7.6% (deal/legal costs). I normalize toward ~6.7–6.8%.</t>
        </is>
      </c>
    </row>
    <row r="38">
      <c r="A38" t="inlineStr">
        <is>
          <t>Amortization of acquired intangibles ($M)</t>
        </is>
      </c>
      <c r="C38" s="17" t="n">
        <v>150</v>
      </c>
      <c r="D38" s="17" t="n">
        <v>140</v>
      </c>
      <c r="E38" t="inlineStr">
        <is>
          <t>Declining schedule as acquired intangibles roll off (derived IS line: FY25 $157M; FY26E ~$152M).</t>
        </is>
      </c>
    </row>
    <row r="39">
      <c r="A39" t="inlineStr">
        <is>
          <t>Interest rate on beginning debt</t>
        </is>
      </c>
      <c r="C39" s="18" t="n">
        <v>0.041</v>
      </c>
      <c r="D39" s="18" t="n">
        <v>0.041</v>
      </c>
      <c r="E39" t="inlineStr">
        <is>
          <t>Blended coupon: FY25 implied interest was ~$220M on ~$5.4B average debt (nonoperating net +$28M vs other income +$248M).</t>
        </is>
      </c>
    </row>
    <row r="40">
      <c r="A40" t="inlineStr">
        <is>
          <t>Interest yield on beginning cash &amp; STI</t>
        </is>
      </c>
      <c r="C40" s="18" t="n">
        <v>0.038</v>
      </c>
      <c r="D40" s="18" t="n">
        <v>0.038</v>
      </c>
      <c r="E40" t="inlineStr">
        <is>
          <t>Money-market/T-bill yields on the cash pile, net of other nonoperating items.</t>
        </is>
      </c>
    </row>
    <row r="41">
      <c r="A41" t="inlineStr">
        <is>
          <t>Effective tax rate</t>
        </is>
      </c>
      <c r="C41" s="18" t="n">
        <v>0.185</v>
      </c>
      <c r="D41" s="18" t="n">
        <v>0.185</v>
      </c>
      <c r="E41" t="inlineStr">
        <is>
          <t>FY25 ETR: 18.3%; FY23–FY25 range 18–21%. I use 18.5%.</t>
        </is>
      </c>
    </row>
    <row r="42">
      <c r="A42" t="inlineStr">
        <is>
          <t>Stock-based compensation, % of revenue</t>
        </is>
      </c>
      <c r="C42" s="18" t="n">
        <v>0.078</v>
      </c>
      <c r="D42" s="18" t="n">
        <v>0.076</v>
      </c>
      <c r="E42" t="inlineStr">
        <is>
          <t>FY25: 8.2% of revenue; 9M FY26: 8.0%. Slow improvement assumed — SBC is the single biggest GAAP/non-GAAP gap and a real cost I do not add back in the DCF.</t>
        </is>
      </c>
    </row>
    <row r="43">
      <c r="A43" t="inlineStr">
        <is>
          <t>Depreciation &amp; amortization, CF stmt ($M)</t>
        </is>
      </c>
      <c r="C43" s="17" t="n">
        <v>800</v>
      </c>
      <c r="D43" s="17" t="n">
        <v>790</v>
      </c>
      <c r="E43" t="inlineStr">
        <is>
          <t>FY25: $820M; declining as the asset base seasons. Note: D&amp;A here is the cash-flow-statement line (incl. intangible amortization).</t>
        </is>
      </c>
    </row>
    <row r="44">
      <c r="A44" t="inlineStr">
        <is>
          <t>Capital expenditures, % of revenue</t>
        </is>
      </c>
      <c r="C44" s="18" t="n">
        <v>0.008</v>
      </c>
      <c r="D44" s="18" t="n">
        <v>0.008</v>
      </c>
      <c r="E44" t="inlineStr">
        <is>
          <t>FY25 actual: 0.8% of revenue. Adobe is asset-light; AI compute is largely opex (cloud) or in cost of revenue.</t>
        </is>
      </c>
    </row>
    <row r="45">
      <c r="A45" t="inlineStr">
        <is>
          <t>Common stock repurchases ($M)</t>
        </is>
      </c>
      <c r="C45" s="17" t="n">
        <v>9500</v>
      </c>
      <c r="D45" s="17" t="n">
        <v>10000</v>
      </c>
      <c r="E45" t="inlineStr">
        <is>
          <t>FY25 actual: $11,283M (115% of FCF); 9M FY26: $6,821M. I assume ~$9.5–10.0B/yr — below the FY25 pace, funded by FCF while keeping cash &gt;$4B.</t>
        </is>
      </c>
    </row>
    <row r="47">
      <c r="A47" s="14" t="inlineStr">
        <is>
          <t>WACC &amp; TERMINAL VALUE</t>
        </is>
      </c>
    </row>
    <row r="48">
      <c r="A48" t="inlineStr">
        <is>
          <t>Risk-free rate (10Y UST)</t>
        </is>
      </c>
      <c r="B48" s="18" t="n">
        <v>0.051</v>
      </c>
      <c r="C48" t="inlineStr">
        <is>
          <t>House convention (5.1%), the same rate used across my sector teardown models — deliberately demanding.</t>
        </is>
      </c>
    </row>
    <row r="49">
      <c r="A49" t="inlineStr">
        <is>
          <t>Beta</t>
        </is>
      </c>
      <c r="B49" s="19" t="n">
        <v>1.42</v>
      </c>
      <c r="C49" t="inlineStr">
        <is>
          <t>Finnhub (1.4126) / MarketBeat (1.42), retrieved Oct 20, 2026. Elevated vs Adobe's pre-2024 ~1.0 — the de-rating raised measured beta; I take it as reported rather than flattering the WACC.</t>
        </is>
      </c>
    </row>
    <row r="50">
      <c r="A50" t="inlineStr">
        <is>
          <t>Equity risk premium</t>
        </is>
      </c>
      <c r="B50" s="18" t="n">
        <v>0.045</v>
      </c>
      <c r="C50" t="inlineStr">
        <is>
          <t>House convention (4.5%), consistent with my sector teardown framework.</t>
        </is>
      </c>
    </row>
    <row r="51">
      <c r="A51" t="inlineStr">
        <is>
          <t>Cost of equity (CAPM)</t>
        </is>
      </c>
      <c r="B51" s="20">
        <f>Assumptions!$B$48+Assumptions!$B$49*Assumptions!$B$50</f>
        <v/>
      </c>
      <c r="C51" t="inlineStr">
        <is>
          <t>Formula: Rf + beta × ERP.</t>
        </is>
      </c>
    </row>
    <row r="52">
      <c r="A52" t="inlineStr">
        <is>
          <t>Pre-tax cost of debt</t>
        </is>
      </c>
      <c r="B52" s="20">
        <f>Assumptions!$C$39</f>
        <v/>
      </c>
      <c r="C52" t="inlineStr">
        <is>
          <t>Linked to the interest-rate assumption (blended coupon ~4.1%).</t>
        </is>
      </c>
    </row>
    <row r="53">
      <c r="A53" t="inlineStr">
        <is>
          <t>After-tax cost of debt</t>
        </is>
      </c>
      <c r="B53" s="20">
        <f>Assumptions!$B$52*(1-Assumptions!$C$41)</f>
        <v/>
      </c>
      <c r="C53" t="inlineStr">
        <is>
          <t>Formula: pre-tax cost × (1 − ETR).</t>
        </is>
      </c>
    </row>
    <row r="54">
      <c r="A54" t="inlineStr">
        <is>
          <t>Market value of equity ($M)</t>
        </is>
      </c>
      <c r="B54" s="8">
        <f>Assumptions!$B$5*Assumptions!$B$6</f>
        <v/>
      </c>
      <c r="C54" t="inlineStr">
        <is>
          <t>Formula: price × shares outstanding.</t>
        </is>
      </c>
    </row>
    <row r="55">
      <c r="A55" t="inlineStr">
        <is>
          <t>Weight of equity</t>
        </is>
      </c>
      <c r="B55" s="20">
        <f>Assumptions!$B$54/(Assumptions!$B$54+Historicals!K37)</f>
        <v/>
      </c>
      <c r="C55" t="inlineStr">
        <is>
          <t>Market-value weights using Q3 FY26 gross debt.</t>
        </is>
      </c>
    </row>
    <row r="56">
      <c r="A56" t="inlineStr">
        <is>
          <t>WACC</t>
        </is>
      </c>
      <c r="B56" s="7">
        <f>Assumptions!$B$55*Assumptions!$B$51+(1-Assumptions!$B$55)*Assumptions!$B$53</f>
        <v/>
      </c>
      <c r="C56" t="inlineStr">
        <is>
          <t>Formula: wE × CoE + wD × after-tax CoD. ≈11.0% — a high bar that the cash flows still clear.</t>
        </is>
      </c>
    </row>
    <row r="57">
      <c r="A57" t="inlineStr">
        <is>
          <t>Terminal growth rate</t>
        </is>
      </c>
      <c r="B57" s="18" t="n">
        <v>0.03</v>
      </c>
      <c r="C57" t="inlineStr">
        <is>
          <t>House convention (3.0%) — roughly long-run nominal growth for a maturing software franchise; below Adobe's forecast growth in every year.</t>
        </is>
      </c>
    </row>
    <row r="59">
      <c r="A59" s="14" t="inlineStr">
        <is>
          <t>DCF EXTENSION &amp; SCENARIOS</t>
        </is>
      </c>
    </row>
    <row r="60">
      <c r="A60" t="inlineStr">
        <is>
          <t>FCF growth FY2029E</t>
        </is>
      </c>
      <c r="B60" s="18" t="n">
        <v>0.09</v>
      </c>
      <c r="C60" t="inlineStr">
        <is>
          <t>Fade from FY28 FCF growth as the base enlarges.</t>
        </is>
      </c>
    </row>
    <row r="61">
      <c r="A61" t="inlineStr">
        <is>
          <t>FCF growth FY2030E</t>
        </is>
      </c>
      <c r="B61" s="18" t="n">
        <v>0.08</v>
      </c>
      <c r="C61" t="inlineStr">
        <is>
          <t>Fade continues.</t>
        </is>
      </c>
    </row>
    <row r="62">
      <c r="A62" t="inlineStr">
        <is>
          <t>FCF growth FY2031E</t>
        </is>
      </c>
      <c r="B62" s="18" t="n">
        <v>0.07000000000000001</v>
      </c>
      <c r="C62" t="inlineStr">
        <is>
          <t>Still ~2.3× the terminal growth rate at exit.</t>
        </is>
      </c>
    </row>
    <row r="63">
      <c r="A63" t="inlineStr">
        <is>
          <t>Bear case: FCF level shock</t>
        </is>
      </c>
      <c r="B63" s="18" t="n">
        <v>-0.18</v>
      </c>
      <c r="C63" t="inlineStr">
        <is>
          <t>Bear = base FCF path × (1 − 18%), WACC +50bp, terminal growth 2.5%: growth disappoints and AI spend eats margin, but the franchise stays intact.</t>
        </is>
      </c>
    </row>
    <row r="64">
      <c r="A64" t="inlineStr">
        <is>
          <t>Bear case: WACC add-on</t>
        </is>
      </c>
      <c r="B64" s="18" t="n">
        <v>0.005</v>
      </c>
      <c r="C64" t="inlineStr"/>
    </row>
    <row r="65">
      <c r="A65" t="inlineStr">
        <is>
          <t>Bear case: terminal growth</t>
        </is>
      </c>
      <c r="B65" s="18" t="n">
        <v>0.025</v>
      </c>
      <c r="C65" t="inlineStr"/>
    </row>
    <row r="66">
      <c r="A66" t="inlineStr">
        <is>
          <t>Bull case: FCF level shock</t>
        </is>
      </c>
      <c r="B66" s="18" t="n">
        <v>0.08</v>
      </c>
      <c r="C66" t="inlineStr">
        <is>
          <t>Bull = base FCF path × 1.08, WACC −50bp, terminal growth 3.5%: AI monetization (Firefly credits, Acrobat AI) lands and the multiple debate shifts back to growth.</t>
        </is>
      </c>
    </row>
    <row r="67">
      <c r="A67" t="inlineStr">
        <is>
          <t>Bull case: WACC add-on</t>
        </is>
      </c>
      <c r="B67" s="18" t="n">
        <v>-0.005</v>
      </c>
      <c r="C67" t="inlineStr"/>
    </row>
    <row r="68">
      <c r="A68" t="inlineStr">
        <is>
          <t>Bull case: terminal growth</t>
        </is>
      </c>
      <c r="B68" s="18" t="n">
        <v>0.035</v>
      </c>
      <c r="C68" t="inlineStr"/>
    </row>
    <row r="69">
      <c r="A69" t="inlineStr">
        <is>
          <t>Disruption case: WACC</t>
        </is>
      </c>
      <c r="B69" s="18" t="n">
        <v>0.115</v>
      </c>
      <c r="C69" t="inlineStr">
        <is>
          <t>The scenario the market is pricing, in my view: AI-native tools take real share, revenue growth fades to low-single digits and FCF margin compresses toward ~30%. FCF path is a direct input on the Valuation sheet.</t>
        </is>
      </c>
    </row>
    <row r="70">
      <c r="A70" t="inlineStr">
        <is>
          <t>Disruption case: terminal growth</t>
        </is>
      </c>
      <c r="B70" s="18" t="n">
        <v>0.015</v>
      </c>
      <c r="C70" t="inlineStr">
        <is>
          <t>A melting-ice-cube terminal assumption — deliberately punitive.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44" customWidth="1" min="1" max="1"/>
    <col width="13" customWidth="1" min="2" max="2"/>
    <col width="13" customWidth="1" min="3" max="3"/>
    <col width="13" customWidth="1" min="4" max="4"/>
    <col width="13" customWidth="1" min="5" max="5"/>
  </cols>
  <sheetData>
    <row r="1">
      <c r="A1" s="11" t="inlineStr">
        <is>
          <t>Income Statement — actual FY2025 and forecast FY2026E–FY2028E ($M, except per-share)</t>
        </is>
      </c>
    </row>
    <row r="3">
      <c r="A3" s="12" t="inlineStr"/>
      <c r="B3" s="12" t="inlineStr">
        <is>
          <t>FY2025A</t>
        </is>
      </c>
      <c r="C3" s="12" t="inlineStr">
        <is>
          <t>FY2026E</t>
        </is>
      </c>
      <c r="D3" s="12" t="inlineStr">
        <is>
          <t>FY2027E</t>
        </is>
      </c>
      <c r="E3" s="12" t="inlineStr">
        <is>
          <t>FY2028E</t>
        </is>
      </c>
    </row>
    <row r="4">
      <c r="A4" s="13" t="inlineStr">
        <is>
          <t>Revenue</t>
        </is>
      </c>
      <c r="C4" s="21">
        <f>Historicals!G5</f>
        <v/>
      </c>
      <c r="D4" s="21">
        <f>Historicals!I5+Assumptions!$D$11</f>
        <v/>
      </c>
      <c r="E4" s="21">
        <f>D4*(1+Assumptions!$C$33)</f>
        <v/>
      </c>
      <c r="F4" s="21">
        <f>E4*(1+Assumptions!$D$33)</f>
        <v/>
      </c>
    </row>
    <row r="5">
      <c r="A5" t="inlineStr">
        <is>
          <t>Cost of revenue</t>
        </is>
      </c>
      <c r="C5" s="8">
        <f>Historicals!G6</f>
        <v/>
      </c>
      <c r="D5" s="8">
        <f>Historicals!I6+Assumptions!$D$12</f>
        <v/>
      </c>
      <c r="E5" s="8">
        <f>E4*(1-Assumptions!$C$34)</f>
        <v/>
      </c>
      <c r="F5" s="8">
        <f>F4*(1-Assumptions!$D$34)</f>
        <v/>
      </c>
    </row>
    <row r="6">
      <c r="A6" s="13" t="inlineStr">
        <is>
          <t>Gross profit</t>
        </is>
      </c>
      <c r="C6" s="21">
        <f>C4-C5</f>
        <v/>
      </c>
      <c r="D6" s="21">
        <f>D4-D5</f>
        <v/>
      </c>
      <c r="E6" s="21">
        <f>E4-E5</f>
        <v/>
      </c>
      <c r="F6" s="21">
        <f>F4-F5</f>
        <v/>
      </c>
    </row>
    <row r="7">
      <c r="A7" t="inlineStr">
        <is>
          <t>Research &amp; development</t>
        </is>
      </c>
      <c r="C7" s="8">
        <f>Historicals!G8</f>
        <v/>
      </c>
      <c r="D7" s="8">
        <f>Historicals!I8+Assumptions!$D$13</f>
        <v/>
      </c>
      <c r="E7" s="8">
        <f>E4*Assumptions!$C$35</f>
        <v/>
      </c>
      <c r="F7" s="8">
        <f>F4*Assumptions!$D$35</f>
        <v/>
      </c>
    </row>
    <row r="8">
      <c r="A8" t="inlineStr">
        <is>
          <t>Sales &amp; marketing</t>
        </is>
      </c>
      <c r="C8" s="8">
        <f>Historicals!G9</f>
        <v/>
      </c>
      <c r="D8" s="8">
        <f>Historicals!I9+Assumptions!$D$14</f>
        <v/>
      </c>
      <c r="E8" s="8">
        <f>E4*Assumptions!$C$36</f>
        <v/>
      </c>
      <c r="F8" s="8">
        <f>F4*Assumptions!$D$36</f>
        <v/>
      </c>
    </row>
    <row r="9">
      <c r="A9" t="inlineStr">
        <is>
          <t>General &amp; administrative</t>
        </is>
      </c>
      <c r="C9" s="8">
        <f>Historicals!G10</f>
        <v/>
      </c>
      <c r="D9" s="8">
        <f>Historicals!I10+Assumptions!$D$15</f>
        <v/>
      </c>
      <c r="E9" s="8">
        <f>E4*Assumptions!$C$37</f>
        <v/>
      </c>
      <c r="F9" s="8">
        <f>F4*Assumptions!$D$37</f>
        <v/>
      </c>
    </row>
    <row r="10">
      <c r="A10" t="inlineStr">
        <is>
          <t>Amortization of acquired intangibles</t>
        </is>
      </c>
      <c r="C10" s="8">
        <f>Historicals!G11</f>
        <v/>
      </c>
      <c r="D10" s="8">
        <f>Historicals!I11+Assumptions!$D$16</f>
        <v/>
      </c>
      <c r="E10" s="8">
        <f>Assumptions!$C$38</f>
        <v/>
      </c>
      <c r="F10" s="8">
        <f>Assumptions!$D$38</f>
        <v/>
      </c>
    </row>
    <row r="11">
      <c r="A11" s="13" t="inlineStr">
        <is>
          <t>Operating income</t>
        </is>
      </c>
      <c r="C11" s="21">
        <f>C6-C7-C8-C9-C10</f>
        <v/>
      </c>
      <c r="D11" s="21">
        <f>D6-D7-D8-D9-D10</f>
        <v/>
      </c>
      <c r="E11" s="21">
        <f>E6-E7-E8-E9-E10</f>
        <v/>
      </c>
      <c r="F11" s="21">
        <f>F6-F7-F8-F9-F10</f>
        <v/>
      </c>
    </row>
    <row r="12">
      <c r="A12" t="inlineStr">
        <is>
          <t>Interest expense</t>
        </is>
      </c>
      <c r="D12" s="8" t="n">
        <v>0</v>
      </c>
      <c r="E12" s="8">
        <f>'CF_BS'!D28*Assumptions!$C$39</f>
        <v/>
      </c>
      <c r="F12" s="8">
        <f>'CF_BS'!E28*Assumptions!$D$39</f>
        <v/>
      </c>
    </row>
    <row r="13">
      <c r="A13" t="inlineStr">
        <is>
          <t>Nonoperating income (expense), net</t>
        </is>
      </c>
      <c r="C13" s="8">
        <f>Historicals!G13</f>
        <v/>
      </c>
      <c r="D13" s="8">
        <f>Historicals!I13+Assumptions!$D$17</f>
        <v/>
      </c>
      <c r="E13" s="8">
        <f>('CF_BS'!D22+'CF_BS'!D23)*Assumptions!$C$40</f>
        <v/>
      </c>
      <c r="F13" s="8">
        <f>('CF_BS'!E22+'CF_BS'!E23)*Assumptions!$D$40</f>
        <v/>
      </c>
    </row>
    <row r="14">
      <c r="A14" s="13" t="inlineStr">
        <is>
          <t>Income before taxes</t>
        </is>
      </c>
      <c r="C14" s="21">
        <f>C11+C13</f>
        <v/>
      </c>
      <c r="D14" s="21">
        <f>D11+D13</f>
        <v/>
      </c>
      <c r="E14" s="21">
        <f>E11-E12+E13</f>
        <v/>
      </c>
      <c r="F14" s="21">
        <f>F11-F12+F13</f>
        <v/>
      </c>
    </row>
    <row r="15">
      <c r="A15" t="inlineStr">
        <is>
          <t>Income tax expense</t>
        </is>
      </c>
      <c r="C15" s="8">
        <f>Historicals!G15</f>
        <v/>
      </c>
      <c r="D15" s="8">
        <f>Historicals!I15+(D14-Historicals!I14)*Assumptions!$B$22</f>
        <v/>
      </c>
      <c r="E15" s="8">
        <f>E14*Assumptions!$C$41</f>
        <v/>
      </c>
      <c r="F15" s="8">
        <f>F14*Assumptions!$D$41</f>
        <v/>
      </c>
    </row>
    <row r="16">
      <c r="A16" s="13" t="inlineStr">
        <is>
          <t>Net income</t>
        </is>
      </c>
      <c r="C16" s="21">
        <f>C14-C15</f>
        <v/>
      </c>
      <c r="D16" s="21">
        <f>D14-D15</f>
        <v/>
      </c>
      <c r="E16" s="21">
        <f>E14-E15</f>
        <v/>
      </c>
      <c r="F16" s="21">
        <f>F14-F15</f>
        <v/>
      </c>
    </row>
    <row r="17">
      <c r="A17" t="inlineStr">
        <is>
          <t>Diluted weighted-average shares</t>
        </is>
      </c>
      <c r="C17" s="9">
        <f>Historicals!G17</f>
        <v/>
      </c>
      <c r="D17" s="9">
        <f>(Historicals!I17*9+Assumptions!$B$23*3)/12</f>
        <v/>
      </c>
      <c r="E17" s="9">
        <f>'CF_BS'!E41</f>
        <v/>
      </c>
      <c r="F17" s="9">
        <f>'CF_BS'!F41</f>
        <v/>
      </c>
    </row>
    <row r="18">
      <c r="A18" t="inlineStr">
        <is>
          <t>Diluted EPS (GAAP)</t>
        </is>
      </c>
      <c r="C18" s="6">
        <f>C16/C17</f>
        <v/>
      </c>
      <c r="D18" s="6">
        <f>D16/D17</f>
        <v/>
      </c>
      <c r="E18" s="6">
        <f>E16/E17</f>
        <v/>
      </c>
      <c r="F18" s="6">
        <f>F16/F17</f>
        <v/>
      </c>
    </row>
    <row r="19">
      <c r="A19" t="inlineStr">
        <is>
          <t>Memo: non-GAAP EPS proxy (NI + SBC + amort. of acquired intangibles, pre-tax)</t>
        </is>
      </c>
      <c r="C19" s="6">
        <f>(C16+Historicals!G21+C10)/C17</f>
        <v/>
      </c>
      <c r="D19" s="6">
        <f>(D16+'CF_BS'!D7+D10)/D17</f>
        <v/>
      </c>
      <c r="E19" s="6">
        <f>(E16+'CF_BS'!E7+E10)/E17</f>
        <v/>
      </c>
      <c r="F19" s="6">
        <f>(F16+'CF_BS'!F7+F10)/F17</f>
        <v/>
      </c>
    </row>
    <row r="21">
      <c r="A21" s="22" t="inlineStr">
        <is>
          <t>Notes: (1) FY2025A interest expense is not broken out in EDGAR company facts after FY2023 — it sits inside nonoperating income, net; forecast years split interest expense (on beginning debt) and interest/other income (on beginning cash &amp; ST investments) explicitly. (2) Adobe guides on a non-GAAP basis (FY2026 guide: $24.45–$24.50, per the Q3 FY26 release). The proxy above adds back SBC and acquired-intangible amortization pre-tax, so it overstates slightly vs Adobe's tax-effected non-GAAP EPS — it is a reasonableness check on the forecast, not a replication of Adobe's non-GAAP definition.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cols>
    <col width="44" customWidth="1" min="1" max="1"/>
    <col width="13" customWidth="1" min="2" max="2"/>
    <col width="13" customWidth="1" min="3" max="3"/>
    <col width="13" customWidth="1" min="4" max="4"/>
    <col width="13" customWidth="1" min="5" max="5"/>
  </cols>
  <sheetData>
    <row r="1">
      <c r="A1" s="11" t="inlineStr">
        <is>
          <t>Cash Flow &amp; Balance Sheet — linked forecast ($M). The balance sheet balances by construction: every balance-sheet delta appears once in the cash flow, and equity rolls with net income + SBC − buybacks.</t>
        </is>
      </c>
    </row>
    <row r="3">
      <c r="A3" s="12" t="inlineStr"/>
      <c r="B3" s="12" t="inlineStr">
        <is>
          <t>FY2025A</t>
        </is>
      </c>
      <c r="C3" s="12" t="inlineStr">
        <is>
          <t>FY2026E</t>
        </is>
      </c>
      <c r="D3" s="12" t="inlineStr">
        <is>
          <t>FY2027E</t>
        </is>
      </c>
      <c r="E3" s="12" t="inlineStr">
        <is>
          <t>FY2028E</t>
        </is>
      </c>
    </row>
    <row r="5">
      <c r="A5" t="inlineStr">
        <is>
          <t>Net income</t>
        </is>
      </c>
      <c r="C5" s="8">
        <f>IS!C16</f>
        <v/>
      </c>
      <c r="D5" s="8">
        <f>IS!D16</f>
        <v/>
      </c>
      <c r="E5" s="8">
        <f>IS!E16</f>
        <v/>
      </c>
      <c r="F5" s="8">
        <f>IS!F16</f>
        <v/>
      </c>
    </row>
    <row r="6">
      <c r="A6" t="inlineStr">
        <is>
          <t>Plus: depreciation &amp; amortization</t>
        </is>
      </c>
      <c r="C6" s="8">
        <f>Historicals!G20</f>
        <v/>
      </c>
      <c r="D6" s="8">
        <f>Historicals!I20+Assumptions!$D$19</f>
        <v/>
      </c>
      <c r="E6" s="8">
        <f>Assumptions!$C$43</f>
        <v/>
      </c>
      <c r="F6" s="8">
        <f>Assumptions!$D$43</f>
        <v/>
      </c>
    </row>
    <row r="7">
      <c r="A7" t="inlineStr">
        <is>
          <t>Plus: stock-based compensation</t>
        </is>
      </c>
      <c r="C7" s="8">
        <f>Historicals!G21</f>
        <v/>
      </c>
      <c r="D7" s="8">
        <f>Historicals!I21+Assumptions!$D$18</f>
        <v/>
      </c>
      <c r="E7" s="8">
        <f>IS!E4*Assumptions!$C$42</f>
        <v/>
      </c>
      <c r="F7" s="8">
        <f>IS!F4*Assumptions!$D$42</f>
        <v/>
      </c>
    </row>
    <row r="8">
      <c r="A8" t="inlineStr">
        <is>
          <t>Less: increase in trade receivables</t>
        </is>
      </c>
      <c r="D8" s="8">
        <f>-(D24-C24)</f>
        <v/>
      </c>
      <c r="E8" s="8">
        <f>-(E24-D24)</f>
        <v/>
      </c>
      <c r="F8" s="8">
        <f>-(F24-E24)</f>
        <v/>
      </c>
    </row>
    <row r="9">
      <c r="A9" t="inlineStr">
        <is>
          <t>Plus: increase in deferred revenue</t>
        </is>
      </c>
      <c r="D9" s="8">
        <f>D29-C29</f>
        <v/>
      </c>
      <c r="E9" s="8">
        <f>E29-D29</f>
        <v/>
      </c>
      <c r="F9" s="8">
        <f>F29-E29</f>
        <v/>
      </c>
    </row>
    <row r="10">
      <c r="A10" t="inlineStr">
        <is>
          <t>Plus: increase in other liabilities</t>
        </is>
      </c>
      <c r="D10" s="8">
        <f>D30-C30</f>
        <v/>
      </c>
      <c r="E10" s="8">
        <f>E30-D30</f>
        <v/>
      </c>
      <c r="F10" s="8">
        <f>F30-E30</f>
        <v/>
      </c>
    </row>
    <row r="11">
      <c r="A11" s="13" t="inlineStr">
        <is>
          <t>Cash flow from operations</t>
        </is>
      </c>
      <c r="C11" s="21">
        <f>Historicals!G22</f>
        <v/>
      </c>
      <c r="D11" s="21">
        <f>SUM(D5:D7)+D8+D9+D10</f>
        <v/>
      </c>
      <c r="E11" s="21">
        <f>SUM(E5:E7)+E8+E9+E10</f>
        <v/>
      </c>
      <c r="F11" s="21">
        <f>SUM(F5:F7)+F8+F9+F10</f>
        <v/>
      </c>
    </row>
    <row r="12">
      <c r="A12" t="inlineStr">
        <is>
          <t>Capital expenditures</t>
        </is>
      </c>
      <c r="C12" s="8">
        <f>Historicals!G23</f>
        <v/>
      </c>
      <c r="D12" s="8">
        <f>Historicals!I23+Assumptions!$D$20</f>
        <v/>
      </c>
      <c r="E12" s="8">
        <f>IS!E4*Assumptions!$C$44</f>
        <v/>
      </c>
      <c r="F12" s="8">
        <f>IS!F4*Assumptions!$D$44</f>
        <v/>
      </c>
    </row>
    <row r="13">
      <c r="A13" s="13" t="inlineStr">
        <is>
          <t>Free cash flow</t>
        </is>
      </c>
      <c r="C13" s="21">
        <f>C11-C12</f>
        <v/>
      </c>
      <c r="D13" s="21">
        <f>D11-D12</f>
        <v/>
      </c>
      <c r="E13" s="21">
        <f>E11-E12</f>
        <v/>
      </c>
      <c r="F13" s="21">
        <f>F11-F12</f>
        <v/>
      </c>
    </row>
    <row r="14">
      <c r="A14" t="inlineStr">
        <is>
          <t>Increase in short-term investments</t>
        </is>
      </c>
      <c r="D14" s="8" t="n">
        <v>0</v>
      </c>
      <c r="E14" s="8" t="n">
        <v>0</v>
      </c>
      <c r="F14" s="8" t="n">
        <v>0</v>
      </c>
    </row>
    <row r="15">
      <c r="A15" t="inlineStr">
        <is>
          <t>Common stock repurchases</t>
        </is>
      </c>
      <c r="C15" s="8">
        <f>Historicals!G24</f>
        <v/>
      </c>
      <c r="D15" s="8">
        <f>Historicals!I24+Assumptions!$D$21</f>
        <v/>
      </c>
      <c r="E15" s="8">
        <f>Assumptions!$C$45</f>
        <v/>
      </c>
      <c r="F15" s="8">
        <f>Assumptions!$D$45</f>
        <v/>
      </c>
    </row>
    <row r="16">
      <c r="A16" t="inlineStr">
        <is>
          <t>Net debt issued (repaid)</t>
        </is>
      </c>
      <c r="D16" s="8">
        <f>D28-C28</f>
        <v/>
      </c>
      <c r="E16" s="8">
        <f>Assumptions!$C$30</f>
        <v/>
      </c>
      <c r="F16" s="8">
        <f>Assumptions!$D$30</f>
        <v/>
      </c>
    </row>
    <row r="17">
      <c r="A17" s="13" t="inlineStr">
        <is>
          <t>Change in cash</t>
        </is>
      </c>
      <c r="D17" s="21">
        <f>D11-D12-D14-D15+D16</f>
        <v/>
      </c>
      <c r="E17" s="21">
        <f>E11-E12-E14-E15+E16</f>
        <v/>
      </c>
      <c r="F17" s="21">
        <f>F11-F12-F14-F15+F16</f>
        <v/>
      </c>
    </row>
    <row r="18">
      <c r="A18" t="inlineStr">
        <is>
          <t>Cash, beginning of year</t>
        </is>
      </c>
      <c r="D18" s="8">
        <f>C22</f>
        <v/>
      </c>
      <c r="E18" s="8">
        <f>D22</f>
        <v/>
      </c>
      <c r="F18" s="8">
        <f>E22</f>
        <v/>
      </c>
    </row>
    <row r="19">
      <c r="A19" s="13" t="inlineStr">
        <is>
          <t>Cash, end of year</t>
        </is>
      </c>
      <c r="C19" s="21">
        <f>Historicals!G28</f>
        <v/>
      </c>
      <c r="D19" s="21">
        <f>D18+D17</f>
        <v/>
      </c>
      <c r="E19" s="21">
        <f>E18+E17</f>
        <v/>
      </c>
      <c r="F19" s="21">
        <f>F18+F17</f>
        <v/>
      </c>
    </row>
    <row r="21">
      <c r="A21" s="14" t="inlineStr">
        <is>
          <t>BALANCE SHEET</t>
        </is>
      </c>
    </row>
    <row r="22">
      <c r="A22" t="inlineStr">
        <is>
          <t>Cash &amp; equivalents</t>
        </is>
      </c>
      <c r="C22" s="8">
        <f>C19</f>
        <v/>
      </c>
      <c r="D22" s="8">
        <f>D19</f>
        <v/>
      </c>
      <c r="E22" s="8">
        <f>E19</f>
        <v/>
      </c>
      <c r="F22" s="8">
        <f>F19</f>
        <v/>
      </c>
    </row>
    <row r="23">
      <c r="A23" t="inlineStr">
        <is>
          <t>Short-term investments</t>
        </is>
      </c>
      <c r="C23" s="8">
        <f>Historicals!G29</f>
        <v/>
      </c>
      <c r="D23" s="8">
        <f>C23+D14</f>
        <v/>
      </c>
      <c r="E23" s="8">
        <f>D23+E14</f>
        <v/>
      </c>
      <c r="F23" s="8">
        <f>E23+F14</f>
        <v/>
      </c>
    </row>
    <row r="24">
      <c r="A24" t="inlineStr">
        <is>
          <t>Trade receivables, net</t>
        </is>
      </c>
      <c r="C24" s="8">
        <f>Historicals!G30</f>
        <v/>
      </c>
      <c r="D24" s="8">
        <f>IS!D4*Assumptions!$B$27</f>
        <v/>
      </c>
      <c r="E24" s="8">
        <f>IS!E4*Assumptions!$C$27</f>
        <v/>
      </c>
      <c r="F24" s="8">
        <f>IS!F4*Assumptions!$D$27</f>
        <v/>
      </c>
    </row>
    <row r="25">
      <c r="A25" t="inlineStr">
        <is>
          <t>Other assets (incl. PP&amp;E, goodwill, intangibles)</t>
        </is>
      </c>
      <c r="C25" s="8">
        <f>Historicals!G31-C22-C23-C24</f>
        <v/>
      </c>
      <c r="D25" s="8">
        <f>C25+D12-D6</f>
        <v/>
      </c>
      <c r="E25" s="8">
        <f>D25+E12-E6</f>
        <v/>
      </c>
      <c r="F25" s="8">
        <f>E25+F12-F6</f>
        <v/>
      </c>
    </row>
    <row r="26">
      <c r="A26" s="13" t="inlineStr">
        <is>
          <t>Total assets</t>
        </is>
      </c>
      <c r="C26" s="21">
        <f>SUM(C22:C25)</f>
        <v/>
      </c>
      <c r="D26" s="21">
        <f>SUM(D22:D25)</f>
        <v/>
      </c>
      <c r="E26" s="21">
        <f>SUM(E22:E25)</f>
        <v/>
      </c>
      <c r="F26" s="21">
        <f>SUM(F22:F25)</f>
        <v/>
      </c>
    </row>
    <row r="28">
      <c r="A28" t="inlineStr">
        <is>
          <t>Total debt</t>
        </is>
      </c>
      <c r="C28" s="8">
        <f>Historicals!G37</f>
        <v/>
      </c>
      <c r="D28" s="8">
        <f>Assumptions!$B$29</f>
        <v/>
      </c>
      <c r="E28" s="8">
        <f>D28+E16</f>
        <v/>
      </c>
      <c r="F28" s="8">
        <f>E28+F16</f>
        <v/>
      </c>
    </row>
    <row r="29">
      <c r="A29" t="inlineStr">
        <is>
          <t>Deferred revenue (current)</t>
        </is>
      </c>
      <c r="C29" s="8">
        <f>Historicals!G34</f>
        <v/>
      </c>
      <c r="D29" s="8">
        <f>C29*(1+Assumptions!$B$28)</f>
        <v/>
      </c>
      <c r="E29" s="8">
        <f>D29*(1+Assumptions!$C$28)</f>
        <v/>
      </c>
      <c r="F29" s="8">
        <f>E29*(1+Assumptions!$D$28)</f>
        <v/>
      </c>
    </row>
    <row r="30">
      <c r="A30" t="inlineStr">
        <is>
          <t>Other liabilities (incl. deferred revenue, non-current)</t>
        </is>
      </c>
      <c r="C30" s="8">
        <f>Historicals!G35-C28-C29</f>
        <v/>
      </c>
      <c r="D30" s="8">
        <f>C30*(IS!D4/IS!C4)</f>
        <v/>
      </c>
      <c r="E30" s="8">
        <f>D30*(IS!E4/IS!D4)</f>
        <v/>
      </c>
      <c r="F30" s="8">
        <f>E30*(IS!F4/IS!E4)</f>
        <v/>
      </c>
    </row>
    <row r="31">
      <c r="A31" s="13" t="inlineStr">
        <is>
          <t>Total liabilities</t>
        </is>
      </c>
      <c r="C31" s="21">
        <f>SUM(C28:C30)</f>
        <v/>
      </c>
      <c r="D31" s="21">
        <f>SUM(D28:D30)</f>
        <v/>
      </c>
      <c r="E31" s="21">
        <f>SUM(E28:E30)</f>
        <v/>
      </c>
      <c r="F31" s="21">
        <f>SUM(F28:F30)</f>
        <v/>
      </c>
    </row>
    <row r="32">
      <c r="A32" t="inlineStr">
        <is>
          <t>Total stockholders' equity</t>
        </is>
      </c>
      <c r="C32" s="8">
        <f>Historicals!G36</f>
        <v/>
      </c>
      <c r="D32" s="8">
        <f>C32+D5+D7-D15</f>
        <v/>
      </c>
      <c r="E32" s="8">
        <f>D32+E5+E7-E15</f>
        <v/>
      </c>
      <c r="F32" s="8">
        <f>E32+F5+F7-F15</f>
        <v/>
      </c>
    </row>
    <row r="33">
      <c r="A33" s="13" t="inlineStr">
        <is>
          <t>Total liabilities &amp; equity</t>
        </is>
      </c>
      <c r="C33" s="21">
        <f>C31+C32</f>
        <v/>
      </c>
      <c r="D33" s="21">
        <f>D31+D32</f>
        <v/>
      </c>
      <c r="E33" s="21">
        <f>E31+E32</f>
        <v/>
      </c>
      <c r="F33" s="21">
        <f>F31+F32</f>
        <v/>
      </c>
    </row>
    <row r="34">
      <c r="A34" s="13" t="inlineStr">
        <is>
          <t>BALANCE CHECK (assets − L&amp;E; must be 0)</t>
        </is>
      </c>
      <c r="C34" s="21">
        <f>C26-C33</f>
        <v/>
      </c>
      <c r="D34" s="21">
        <f>D26-D33</f>
        <v/>
      </c>
      <c r="E34" s="21">
        <f>E26-E33</f>
        <v/>
      </c>
      <c r="F34" s="21">
        <f>F26-F33</f>
        <v/>
      </c>
    </row>
    <row r="36">
      <c r="A36" s="14" t="inlineStr">
        <is>
          <t>SHARE COUNT ROLL (millions)</t>
        </is>
      </c>
    </row>
    <row r="37">
      <c r="A37" t="inlineStr">
        <is>
          <t>Shares outstanding, beginning</t>
        </is>
      </c>
      <c r="D37" s="9">
        <f>Historicals!G38</f>
        <v/>
      </c>
      <c r="E37" s="9">
        <f>D40</f>
        <v/>
      </c>
      <c r="F37" s="9">
        <f>E40</f>
        <v/>
      </c>
    </row>
    <row r="38">
      <c r="A38" t="inlineStr">
        <is>
          <t>Less: shares repurchased</t>
        </is>
      </c>
      <c r="D38" s="9">
        <f>D15/Assumptions!$B$31</f>
        <v/>
      </c>
      <c r="E38" s="9">
        <f>E15/Assumptions!$C$31</f>
        <v/>
      </c>
      <c r="F38" s="9">
        <f>F15/Assumptions!$D$31</f>
        <v/>
      </c>
    </row>
    <row r="39">
      <c r="A39" t="inlineStr">
        <is>
          <t>Plus: shares issued for equity comp</t>
        </is>
      </c>
      <c r="D39" s="9">
        <f>Assumptions!$B$32</f>
        <v/>
      </c>
      <c r="E39" s="9">
        <f>Assumptions!$C$32</f>
        <v/>
      </c>
      <c r="F39" s="9">
        <f>Assumptions!$D$32</f>
        <v/>
      </c>
    </row>
    <row r="40">
      <c r="A40" s="13" t="inlineStr">
        <is>
          <t>Shares outstanding, end of year</t>
        </is>
      </c>
      <c r="D40" s="23">
        <f>D37-D38+D39</f>
        <v/>
      </c>
      <c r="E40" s="23">
        <f>E37-E38+E39</f>
        <v/>
      </c>
      <c r="F40" s="23">
        <f>F37-F38+F39</f>
        <v/>
      </c>
    </row>
    <row r="41">
      <c r="A41" t="inlineStr">
        <is>
          <t>Diluted weighted-average shares (BS roll)</t>
        </is>
      </c>
      <c r="E41" s="9">
        <f>(E37+E40)/2</f>
        <v/>
      </c>
      <c r="F41" s="9">
        <f>(F37+F40)/2</f>
        <v/>
      </c>
    </row>
    <row r="43">
      <c r="A43" s="22" t="inlineStr">
        <is>
          <t>Cross-check: the roll implies ~381M shares at FY26 year-end vs 389.2M actually outstanding at Sep 18, 2026 with a full quarter of buybacks still to run — consistent. FY2025A cash-flow column shows reported figures; forecast columns are fully formula-driven.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63"/>
  <sheetViews>
    <sheetView workbookViewId="0">
      <selection activeCell="A1" sqref="A1"/>
    </sheetView>
  </sheetViews>
  <sheetFormatPr baseColWidth="8" defaultRowHeight="15"/>
  <cols>
    <col width="4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2" customWidth="1" min="7" max="7"/>
    <col width="12" customWidth="1" min="8" max="8"/>
    <col width="15" customWidth="1" min="9" max="9"/>
    <col width="11" customWidth="1" min="10" max="10"/>
    <col width="10" customWidth="1" min="11" max="11"/>
  </cols>
  <sheetData>
    <row r="1">
      <c r="A1" s="11" t="inlineStr">
        <is>
          <t>Valuation — DCF (base / bear / bull / disruption), multiples cross-check, sensitivity</t>
        </is>
      </c>
    </row>
    <row r="3">
      <c r="A3" s="14" t="inlineStr">
        <is>
          <t>CURRENT MULTIPLES (at $247.09, Oct 19, 2026 close)</t>
        </is>
      </c>
    </row>
    <row r="4">
      <c r="A4" t="inlineStr">
        <is>
          <t>Market capitalization ($M)</t>
        </is>
      </c>
      <c r="B4" s="8">
        <f>Assumptions!$B$5*Assumptions!$B$6</f>
        <v/>
      </c>
    </row>
    <row r="5">
      <c r="A5" t="inlineStr">
        <is>
          <t>Plus: net debt at Q3 FY26 ($M)</t>
        </is>
      </c>
      <c r="B5" s="8">
        <f>Assumptions!$B$7</f>
        <v/>
      </c>
    </row>
    <row r="6">
      <c r="A6" s="13" t="inlineStr">
        <is>
          <t>Enterprise value ($M)</t>
        </is>
      </c>
      <c r="B6" s="21">
        <f>B4+B5</f>
        <v/>
      </c>
    </row>
    <row r="7">
      <c r="A7" t="inlineStr">
        <is>
          <t>LTM revenue ($M)</t>
        </is>
      </c>
      <c r="B7" s="8">
        <f>Historicals!J5</f>
        <v/>
      </c>
    </row>
    <row r="8">
      <c r="A8" t="inlineStr">
        <is>
          <t>LTM EBITDA ($M)</t>
        </is>
      </c>
      <c r="B8" s="8">
        <f>Historicals!J26</f>
        <v/>
      </c>
    </row>
    <row r="9">
      <c r="A9" t="inlineStr">
        <is>
          <t>LTM free cash flow ($M)</t>
        </is>
      </c>
      <c r="B9" s="8">
        <f>Historicals!J25</f>
        <v/>
      </c>
    </row>
    <row r="10">
      <c r="A10" t="inlineStr">
        <is>
          <t>EV / LTM EBITDA</t>
        </is>
      </c>
      <c r="B10" s="10">
        <f>Valuation!$B$6/Valuation!$B$8</f>
        <v/>
      </c>
    </row>
    <row r="11">
      <c r="A11" t="inlineStr">
        <is>
          <t>Price / LTM FCF</t>
        </is>
      </c>
      <c r="B11" s="10">
        <f>Valuation!$B$4/Valuation!$B$9</f>
        <v/>
      </c>
    </row>
    <row r="12">
      <c r="A12" t="inlineStr">
        <is>
          <t>P / E (LTM GAAP)</t>
        </is>
      </c>
      <c r="B12" s="10">
        <f>Assumptions!$B$5/Historicals!J18</f>
        <v/>
      </c>
    </row>
    <row r="14">
      <c r="A14" s="14" t="inlineStr">
        <is>
          <t>OWN-HISTORY MULTIPLES — market cap at calendar year-end (companiesmarketcap.com) vs that fiscal year's fundamentals (EDGAR). FY ends late Nov/early Dec, so the calendar year-end cap is the nearest trading day after the fiscal year-end.</t>
        </is>
      </c>
    </row>
    <row r="15">
      <c r="A15" s="12" t="inlineStr">
        <is>
          <t>Fiscal year</t>
        </is>
      </c>
      <c r="B15" s="12" t="inlineStr">
        <is>
          <t>Year-end mkt cap ($M)</t>
        </is>
      </c>
      <c r="C15" s="12" t="inlineStr">
        <is>
          <t>Net debt at FY-end ($M)</t>
        </is>
      </c>
      <c r="D15" s="12" t="inlineStr">
        <is>
          <t>EV ($M)</t>
        </is>
      </c>
      <c r="E15" s="12" t="inlineStr">
        <is>
          <t>EBITDA ($M)</t>
        </is>
      </c>
      <c r="F15" s="12" t="inlineStr">
        <is>
          <t>FCF ($M)</t>
        </is>
      </c>
      <c r="G15" s="12" t="inlineStr">
        <is>
          <t>EV/EBITDA</t>
        </is>
      </c>
      <c r="H15" s="12" t="inlineStr">
        <is>
          <t>P/FCF</t>
        </is>
      </c>
    </row>
    <row r="16">
      <c r="A16" t="inlineStr">
        <is>
          <t>FY2021</t>
        </is>
      </c>
      <c r="B16" s="17" t="n">
        <v>269350</v>
      </c>
      <c r="C16" s="8">
        <f>Historicals!C37-Historicals!C28-Historicals!C29</f>
        <v/>
      </c>
      <c r="D16" s="8">
        <f>B16+C16</f>
        <v/>
      </c>
      <c r="E16" s="8">
        <f>Historicals!C26</f>
        <v/>
      </c>
      <c r="F16" s="8">
        <f>Historicals!C25</f>
        <v/>
      </c>
      <c r="G16" s="10">
        <f>D16/E16</f>
        <v/>
      </c>
      <c r="H16" s="10">
        <f>B16/F16</f>
        <v/>
      </c>
    </row>
    <row r="17">
      <c r="A17" t="inlineStr">
        <is>
          <t>FY2022</t>
        </is>
      </c>
      <c r="B17" s="17" t="n">
        <v>156450</v>
      </c>
      <c r="C17" s="8">
        <f>Historicals!D37-Historicals!D28-Historicals!D29</f>
        <v/>
      </c>
      <c r="D17" s="8">
        <f>B17+C17</f>
        <v/>
      </c>
      <c r="E17" s="8">
        <f>Historicals!D26</f>
        <v/>
      </c>
      <c r="F17" s="8">
        <f>Historicals!D25</f>
        <v/>
      </c>
      <c r="G17" s="10">
        <f>D17/E17</f>
        <v/>
      </c>
      <c r="H17" s="10">
        <f>B17/F17</f>
        <v/>
      </c>
    </row>
    <row r="18">
      <c r="A18" t="inlineStr">
        <is>
          <t>FY2023</t>
        </is>
      </c>
      <c r="B18" s="17" t="n">
        <v>271630</v>
      </c>
      <c r="C18" s="8">
        <f>Historicals!E37-Historicals!E28-Historicals!E29</f>
        <v/>
      </c>
      <c r="D18" s="8">
        <f>B18+C18</f>
        <v/>
      </c>
      <c r="E18" s="8">
        <f>Historicals!E26</f>
        <v/>
      </c>
      <c r="F18" s="8">
        <f>Historicals!E25</f>
        <v/>
      </c>
      <c r="G18" s="10">
        <f>D18/E18</f>
        <v/>
      </c>
      <c r="H18" s="10">
        <f>B18/F18</f>
        <v/>
      </c>
    </row>
    <row r="19">
      <c r="A19" t="inlineStr">
        <is>
          <t>FY2024</t>
        </is>
      </c>
      <c r="B19" s="17" t="n">
        <v>196540</v>
      </c>
      <c r="C19" s="8">
        <f>Historicals!F37-Historicals!F28-Historicals!F29</f>
        <v/>
      </c>
      <c r="D19" s="8">
        <f>B19+C19</f>
        <v/>
      </c>
      <c r="E19" s="8">
        <f>Historicals!F26</f>
        <v/>
      </c>
      <c r="F19" s="8">
        <f>Historicals!F25</f>
        <v/>
      </c>
      <c r="G19" s="10">
        <f>D19/E19</f>
        <v/>
      </c>
      <c r="H19" s="10">
        <f>B19/F19</f>
        <v/>
      </c>
    </row>
    <row r="20">
      <c r="A20" t="inlineStr">
        <is>
          <t>FY2025</t>
        </is>
      </c>
      <c r="B20" s="17" t="n">
        <v>150080</v>
      </c>
      <c r="C20" s="8">
        <f>Historicals!G37-Historicals!G28-Historicals!G29</f>
        <v/>
      </c>
      <c r="D20" s="8">
        <f>B20+C20</f>
        <v/>
      </c>
      <c r="E20" s="8">
        <f>Historicals!G26</f>
        <v/>
      </c>
      <c r="F20" s="8">
        <f>Historicals!G25</f>
        <v/>
      </c>
      <c r="G20" s="10">
        <f>D20/E20</f>
        <v/>
      </c>
      <c r="H20" s="10">
        <f>B20/F20</f>
        <v/>
      </c>
    </row>
    <row r="21">
      <c r="A21" s="13" t="inlineStr">
        <is>
          <t>Median FY21–FY25</t>
        </is>
      </c>
      <c r="G21" s="24">
        <f>MEDIAN(G16:G20)</f>
        <v/>
      </c>
      <c r="H21" s="24">
        <f>MEDIAN(H16:H20)</f>
        <v/>
      </c>
    </row>
    <row r="23">
      <c r="A23" s="14" t="inlineStr">
        <is>
          <t>DCF — BASE CASE (FCF FY2027E–FY2031E; FY27/28 from the three-statement model, FY29–31 fade at assumption growth rates)</t>
        </is>
      </c>
    </row>
    <row r="24">
      <c r="B24" s="13" t="inlineStr">
        <is>
          <t>FY27E</t>
        </is>
      </c>
      <c r="C24" s="13" t="inlineStr">
        <is>
          <t>FY28E</t>
        </is>
      </c>
      <c r="D24" s="13" t="inlineStr">
        <is>
          <t>FY29E</t>
        </is>
      </c>
      <c r="E24" s="13" t="inlineStr">
        <is>
          <t>FY30E</t>
        </is>
      </c>
      <c r="F24" s="13" t="inlineStr">
        <is>
          <t>FY31E</t>
        </is>
      </c>
    </row>
    <row r="25">
      <c r="A25" t="inlineStr">
        <is>
          <t>Free cash flow ($M)</t>
        </is>
      </c>
      <c r="B25" s="8">
        <f>'CF_BS'!E13</f>
        <v/>
      </c>
      <c r="C25" s="8">
        <f>'CF_BS'!F13</f>
        <v/>
      </c>
      <c r="D25" s="8">
        <f>C25*(1+Assumptions!$B$60)</f>
        <v/>
      </c>
      <c r="E25" s="8">
        <f>D25*(1+Assumptions!$B$61)</f>
        <v/>
      </c>
      <c r="F25" s="8">
        <f>E25*(1+Assumptions!$B$62)</f>
        <v/>
      </c>
    </row>
    <row r="26">
      <c r="A26" t="inlineStr">
        <is>
          <t>Discount factor</t>
        </is>
      </c>
      <c r="B26" s="25">
        <f>1/(1+Valuation!$B$29)^1</f>
        <v/>
      </c>
      <c r="C26" s="25">
        <f>1/(1+Valuation!$B$29)^2</f>
        <v/>
      </c>
      <c r="D26" s="25">
        <f>1/(1+Valuation!$B$29)^3</f>
        <v/>
      </c>
      <c r="E26" s="25">
        <f>1/(1+Valuation!$B$29)^4</f>
        <v/>
      </c>
      <c r="F26" s="25">
        <f>1/(1+Valuation!$B$29)^5</f>
        <v/>
      </c>
    </row>
    <row r="27">
      <c r="A27" t="inlineStr">
        <is>
          <t>PV of FCF</t>
        </is>
      </c>
      <c r="B27" s="8">
        <f>B25*B26</f>
        <v/>
      </c>
      <c r="C27" s="8">
        <f>C25*C26</f>
        <v/>
      </c>
      <c r="D27" s="8">
        <f>D25*D26</f>
        <v/>
      </c>
      <c r="E27" s="8">
        <f>E25*E26</f>
        <v/>
      </c>
      <c r="F27" s="8">
        <f>F25*F26</f>
        <v/>
      </c>
    </row>
    <row r="28">
      <c r="A28" t="inlineStr">
        <is>
          <t>PV of FY27E–31E FCF ($M)</t>
        </is>
      </c>
      <c r="B28" s="8">
        <f>SUM(B27:F27)</f>
        <v/>
      </c>
    </row>
    <row r="29">
      <c r="A29" t="inlineStr">
        <is>
          <t>WACC</t>
        </is>
      </c>
      <c r="B29" s="20">
        <f>Assumptions!$B$56</f>
        <v/>
      </c>
    </row>
    <row r="30">
      <c r="A30" t="inlineStr">
        <is>
          <t>Terminal growth</t>
        </is>
      </c>
      <c r="B30" s="20">
        <f>Assumptions!$B$57</f>
        <v/>
      </c>
    </row>
    <row r="31">
      <c r="A31" t="inlineStr">
        <is>
          <t>Terminal value ($M)</t>
        </is>
      </c>
      <c r="B31" s="8">
        <f>F25*(1+Valuation!$B$30)/(Valuation!$B$29-Valuation!$B$30)</f>
        <v/>
      </c>
    </row>
    <row r="32">
      <c r="A32" t="inlineStr">
        <is>
          <t>PV of terminal value ($M)</t>
        </is>
      </c>
      <c r="B32" s="8">
        <f>B31*F26</f>
        <v/>
      </c>
    </row>
    <row r="33">
      <c r="A33" s="13" t="inlineStr">
        <is>
          <t>Enterprise value ($M)</t>
        </is>
      </c>
      <c r="B33" s="21">
        <f>Valuation!$B$28+Valuation!$B$32</f>
        <v/>
      </c>
    </row>
    <row r="34">
      <c r="A34" t="inlineStr">
        <is>
          <t>Less: net debt ($M)</t>
        </is>
      </c>
      <c r="B34" s="8">
        <f>Assumptions!$B$7</f>
        <v/>
      </c>
    </row>
    <row r="35">
      <c r="A35" t="inlineStr">
        <is>
          <t>Equity value ($M)</t>
        </is>
      </c>
      <c r="B35" s="8">
        <f>B33-B34</f>
        <v/>
      </c>
    </row>
    <row r="36">
      <c r="A36" t="inlineStr">
        <is>
          <t>Diluted shares out (M)</t>
        </is>
      </c>
      <c r="B36" s="9">
        <f>Assumptions!$B$6</f>
        <v/>
      </c>
    </row>
    <row r="37">
      <c r="A37" s="13" t="inlineStr">
        <is>
          <t>TARGET PRICE</t>
        </is>
      </c>
      <c r="B37" s="5">
        <f>B35/B36</f>
        <v/>
      </c>
    </row>
    <row r="38">
      <c r="A38" t="inlineStr">
        <is>
          <t>Current price</t>
        </is>
      </c>
      <c r="B38" s="6">
        <f>Assumptions!$B$5</f>
        <v/>
      </c>
    </row>
    <row r="39">
      <c r="A39" s="13" t="inlineStr">
        <is>
          <t>Implied upside</t>
        </is>
      </c>
      <c r="B39" s="7">
        <f>B37/B38-1</f>
        <v/>
      </c>
    </row>
    <row r="41">
      <c r="A41" s="14" t="inlineStr">
        <is>
          <t>SCENARIOS (same FCF base unless shocked; disruption uses its own FCF path)</t>
        </is>
      </c>
    </row>
    <row r="42">
      <c r="A42" s="12" t="inlineStr">
        <is>
          <t>Scenario</t>
        </is>
      </c>
      <c r="B42" s="12" t="inlineStr">
        <is>
          <t>FCF FY27E</t>
        </is>
      </c>
      <c r="C42" s="12" t="inlineStr">
        <is>
          <t>FCF FY28E</t>
        </is>
      </c>
      <c r="D42" s="12" t="inlineStr">
        <is>
          <t>FCF FY29E</t>
        </is>
      </c>
      <c r="E42" s="12" t="inlineStr">
        <is>
          <t>FCF FY30E</t>
        </is>
      </c>
      <c r="F42" s="12" t="inlineStr">
        <is>
          <t>FCF FY31E</t>
        </is>
      </c>
      <c r="G42" s="12" t="inlineStr">
        <is>
          <t>WACC</t>
        </is>
      </c>
      <c r="H42" s="12" t="inlineStr">
        <is>
          <t>Term. g</t>
        </is>
      </c>
      <c r="I42" s="12" t="inlineStr">
        <is>
          <t>Equity value ($M)</t>
        </is>
      </c>
      <c r="J42" s="12" t="inlineStr">
        <is>
          <t>Per share</t>
        </is>
      </c>
      <c r="K42" s="12" t="inlineStr">
        <is>
          <t>Upside</t>
        </is>
      </c>
    </row>
    <row r="43">
      <c r="A43" t="inlineStr">
        <is>
          <t>Base</t>
        </is>
      </c>
      <c r="B43" s="8">
        <f>B25</f>
        <v/>
      </c>
      <c r="C43" s="8">
        <f>C25</f>
        <v/>
      </c>
      <c r="D43" s="8">
        <f>D25</f>
        <v/>
      </c>
      <c r="E43" s="8">
        <f>E25</f>
        <v/>
      </c>
      <c r="F43" s="8">
        <f>F25</f>
        <v/>
      </c>
      <c r="G43" s="20">
        <f>Valuation!$B$29</f>
        <v/>
      </c>
      <c r="H43" s="20">
        <f>Valuation!$B$30</f>
        <v/>
      </c>
      <c r="I43" s="8">
        <f>B43/(1+$G43)^1+C43/(1+$G43)^2+D43/(1+$G43)^3+E43/(1+$G43)^4+F43/(1+$G43)^5+F43*(1+H43)/(G43-H43)/(1+G43)^5-Assumptions!$B$7</f>
        <v/>
      </c>
      <c r="J43" s="6">
        <f>I43/Assumptions!$B$6</f>
        <v/>
      </c>
      <c r="K43" s="20">
        <f>J43/Assumptions!$B$5-1</f>
        <v/>
      </c>
    </row>
    <row r="44">
      <c r="A44" t="inlineStr">
        <is>
          <t>Bear (FCF −18%, WACC +50bp, g 2.5%)</t>
        </is>
      </c>
      <c r="B44" s="8">
        <f>B25*(1+Assumptions!$B$63)</f>
        <v/>
      </c>
      <c r="C44" s="8">
        <f>C25*(1+Assumptions!$B$63)</f>
        <v/>
      </c>
      <c r="D44" s="8">
        <f>D25*(1+Assumptions!$B$63)</f>
        <v/>
      </c>
      <c r="E44" s="8">
        <f>E25*(1+Assumptions!$B$63)</f>
        <v/>
      </c>
      <c r="F44" s="8">
        <f>F25*(1+Assumptions!$B$63)</f>
        <v/>
      </c>
      <c r="G44" s="20">
        <f>Valuation!$B$29+Assumptions!$B$64</f>
        <v/>
      </c>
      <c r="H44" s="20">
        <f>Assumptions!$B$65</f>
        <v/>
      </c>
      <c r="I44" s="8">
        <f>B44/(1+$G44)^1+C44/(1+$G44)^2+D44/(1+$G44)^3+E44/(1+$G44)^4+F44/(1+$G44)^5+F44*(1+H44)/(G44-H44)/(1+G44)^5-Assumptions!$B$7</f>
        <v/>
      </c>
      <c r="J44" s="6">
        <f>I44/Assumptions!$B$6</f>
        <v/>
      </c>
      <c r="K44" s="20">
        <f>J44/Assumptions!$B$5-1</f>
        <v/>
      </c>
    </row>
    <row r="45">
      <c r="A45" t="inlineStr">
        <is>
          <t>Bull (FCF +8%, WACC −50bp, g 3.5%)</t>
        </is>
      </c>
      <c r="B45" s="8">
        <f>B25*(1+Assumptions!$B$66)</f>
        <v/>
      </c>
      <c r="C45" s="8">
        <f>C25*(1+Assumptions!$B$66)</f>
        <v/>
      </c>
      <c r="D45" s="8">
        <f>D25*(1+Assumptions!$B$66)</f>
        <v/>
      </c>
      <c r="E45" s="8">
        <f>E25*(1+Assumptions!$B$66)</f>
        <v/>
      </c>
      <c r="F45" s="8">
        <f>F25*(1+Assumptions!$B$66)</f>
        <v/>
      </c>
      <c r="G45" s="20">
        <f>Valuation!$B$29+Assumptions!$B$67</f>
        <v/>
      </c>
      <c r="H45" s="20">
        <f>Assumptions!$B$68</f>
        <v/>
      </c>
      <c r="I45" s="8">
        <f>B45/(1+$G45)^1+C45/(1+$G45)^2+D45/(1+$G45)^3+E45/(1+$G45)^4+F45/(1+$G45)^5+F45*(1+H45)/(G45-H45)/(1+G45)^5-Assumptions!$B$7</f>
        <v/>
      </c>
      <c r="J45" s="6">
        <f>I45/Assumptions!$B$6</f>
        <v/>
      </c>
      <c r="K45" s="20">
        <f>J45/Assumptions!$B$5-1</f>
        <v/>
      </c>
    </row>
    <row r="46">
      <c r="A46" t="inlineStr">
        <is>
          <t>AI disruption (market-implied bear)</t>
        </is>
      </c>
      <c r="B46" s="8" t="n">
        <v>10800</v>
      </c>
      <c r="C46" s="8" t="n">
        <v>10600</v>
      </c>
      <c r="D46" s="8" t="n">
        <v>10200</v>
      </c>
      <c r="E46" s="8" t="n">
        <v>9900</v>
      </c>
      <c r="F46" s="8" t="n">
        <v>9700</v>
      </c>
      <c r="G46" s="20">
        <f>Assumptions!$B$69</f>
        <v/>
      </c>
      <c r="H46" s="20">
        <f>Assumptions!$B$70</f>
        <v/>
      </c>
      <c r="I46" s="8">
        <f>B46/(1+$G46)^1+C46/(1+$G46)^2+D46/(1+$G46)^3+E46/(1+$G46)^4+F46/(1+$G46)^5+F46*(1+H46)/(G46-H46)/(1+G46)^5-Assumptions!$B$7</f>
        <v/>
      </c>
      <c r="J46" s="6">
        <f>I46/Assumptions!$B$6</f>
        <v/>
      </c>
      <c r="K46" s="20">
        <f>J46/Assumptions!$B$5-1</f>
        <v/>
      </c>
    </row>
    <row r="47">
      <c r="A47" s="22" t="inlineStr">
        <is>
          <t>Disruption FCF path is a direct input: revenue growth fades to low-single digits, FCF margin compresses toward ~30% as AI-native rivals take share. It values the stock near today's price — i.e., the market is already paying for this scenario.</t>
        </is>
      </c>
    </row>
    <row r="49">
      <c r="A49" s="14" t="inlineStr">
        <is>
          <t>SENSITIVITY — target price at WACC (rows) × terminal growth (columns), base FCF path</t>
        </is>
      </c>
    </row>
    <row r="50">
      <c r="B50" s="7" t="n">
        <v>0.025</v>
      </c>
      <c r="C50" s="7" t="n">
        <v>0.03</v>
      </c>
      <c r="D50" s="7" t="n">
        <v>0.035</v>
      </c>
    </row>
    <row r="51">
      <c r="A51" s="20">
        <f>Valuation!$B$29+-0.01</f>
        <v/>
      </c>
      <c r="B51" s="6">
        <f>(B25/(1+$A51)^1+C25/(1+$A51)^2+D25/(1+$A51)^3+E25/(1+$A51)^4+F25/(1+$A51)^5+F$25*(1+B$50)/($A51-B$50)/(1+$A51)^5-Assumptions!$B$7)/Assumptions!$B$6</f>
        <v/>
      </c>
      <c r="C51" s="6">
        <f>(B25/(1+$A51)^1+C25/(1+$A51)^2+D25/(1+$A51)^3+E25/(1+$A51)^4+F25/(1+$A51)^5+F$25*(1+C$50)/($A51-C$50)/(1+$A51)^5-Assumptions!$B$7)/Assumptions!$B$6</f>
        <v/>
      </c>
      <c r="D51" s="6">
        <f>(B25/(1+$A51)^1+C25/(1+$A51)^2+D25/(1+$A51)^3+E25/(1+$A51)^4+F25/(1+$A51)^5+F$25*(1+D$50)/($A51-D$50)/(1+$A51)^5-Assumptions!$B$7)/Assumptions!$B$6</f>
        <v/>
      </c>
    </row>
    <row r="52">
      <c r="A52" s="20">
        <f>Valuation!$B$29+-0.005</f>
        <v/>
      </c>
      <c r="B52" s="6">
        <f>(B25/(1+$A52)^1+C25/(1+$A52)^2+D25/(1+$A52)^3+E25/(1+$A52)^4+F25/(1+$A52)^5+F$25*(1+B$50)/($A52-B$50)/(1+$A52)^5-Assumptions!$B$7)/Assumptions!$B$6</f>
        <v/>
      </c>
      <c r="C52" s="6">
        <f>(B25/(1+$A52)^1+C25/(1+$A52)^2+D25/(1+$A52)^3+E25/(1+$A52)^4+F25/(1+$A52)^5+F$25*(1+C$50)/($A52-C$50)/(1+$A52)^5-Assumptions!$B$7)/Assumptions!$B$6</f>
        <v/>
      </c>
      <c r="D52" s="6">
        <f>(B25/(1+$A52)^1+C25/(1+$A52)^2+D25/(1+$A52)^3+E25/(1+$A52)^4+F25/(1+$A52)^5+F$25*(1+D$50)/($A52-D$50)/(1+$A52)^5-Assumptions!$B$7)/Assumptions!$B$6</f>
        <v/>
      </c>
    </row>
    <row r="53">
      <c r="A53" s="20">
        <f>Valuation!$B$29+0.0</f>
        <v/>
      </c>
      <c r="B53" s="6">
        <f>(B25/(1+$A53)^1+C25/(1+$A53)^2+D25/(1+$A53)^3+E25/(1+$A53)^4+F25/(1+$A53)^5+F$25*(1+B$50)/($A53-B$50)/(1+$A53)^5-Assumptions!$B$7)/Assumptions!$B$6</f>
        <v/>
      </c>
      <c r="C53" s="6">
        <f>(B25/(1+$A53)^1+C25/(1+$A53)^2+D25/(1+$A53)^3+E25/(1+$A53)^4+F25/(1+$A53)^5+F$25*(1+C$50)/($A53-C$50)/(1+$A53)^5-Assumptions!$B$7)/Assumptions!$B$6</f>
        <v/>
      </c>
      <c r="D53" s="6">
        <f>(B25/(1+$A53)^1+C25/(1+$A53)^2+D25/(1+$A53)^3+E25/(1+$A53)^4+F25/(1+$A53)^5+F$25*(1+D$50)/($A53-D$50)/(1+$A53)^5-Assumptions!$B$7)/Assumptions!$B$6</f>
        <v/>
      </c>
    </row>
    <row r="54">
      <c r="A54" s="20">
        <f>Valuation!$B$29+0.005</f>
        <v/>
      </c>
      <c r="B54" s="6">
        <f>(B25/(1+$A54)^1+C25/(1+$A54)^2+D25/(1+$A54)^3+E25/(1+$A54)^4+F25/(1+$A54)^5+F$25*(1+B$50)/($A54-B$50)/(1+$A54)^5-Assumptions!$B$7)/Assumptions!$B$6</f>
        <v/>
      </c>
      <c r="C54" s="6">
        <f>(B25/(1+$A54)^1+C25/(1+$A54)^2+D25/(1+$A54)^3+E25/(1+$A54)^4+F25/(1+$A54)^5+F$25*(1+C$50)/($A54-C$50)/(1+$A54)^5-Assumptions!$B$7)/Assumptions!$B$6</f>
        <v/>
      </c>
      <c r="D54" s="6">
        <f>(B25/(1+$A54)^1+C25/(1+$A54)^2+D25/(1+$A54)^3+E25/(1+$A54)^4+F25/(1+$A54)^5+F$25*(1+D$50)/($A54-D$50)/(1+$A54)^5-Assumptions!$B$7)/Assumptions!$B$6</f>
        <v/>
      </c>
    </row>
    <row r="55">
      <c r="A55" s="20">
        <f>Valuation!$B$29+0.01</f>
        <v/>
      </c>
      <c r="B55" s="6">
        <f>(B25/(1+$A55)^1+C25/(1+$A55)^2+D25/(1+$A55)^3+E25/(1+$A55)^4+F25/(1+$A55)^5+F$25*(1+B$50)/($A55-B$50)/(1+$A55)^5-Assumptions!$B$7)/Assumptions!$B$6</f>
        <v/>
      </c>
      <c r="C55" s="6">
        <f>(B25/(1+$A55)^1+C25/(1+$A55)^2+D25/(1+$A55)^3+E25/(1+$A55)^4+F25/(1+$A55)^5+F$25*(1+C$50)/($A55-C$50)/(1+$A55)^5-Assumptions!$B$7)/Assumptions!$B$6</f>
        <v/>
      </c>
      <c r="D55" s="6">
        <f>(B25/(1+$A55)^1+C25/(1+$A55)^2+D25/(1+$A55)^3+E25/(1+$A55)^4+F25/(1+$A55)^5+F$25*(1+D$50)/($A55-D$50)/(1+$A55)^5-Assumptions!$B$7)/Assumptions!$B$6</f>
        <v/>
      </c>
    </row>
    <row r="57">
      <c r="A57" s="14" t="inlineStr">
        <is>
          <t>MULTIPLES CROSS-CHECKS</t>
        </is>
      </c>
    </row>
    <row r="58">
      <c r="A58" t="inlineStr">
        <is>
          <t>FY27E FCF per share</t>
        </is>
      </c>
      <c r="B58" s="6">
        <f>'CF_BS'!E13/IS!E17</f>
        <v/>
      </c>
    </row>
    <row r="59">
      <c r="A59" t="inlineStr">
        <is>
          <t>Implied price at FY25's own (already de-rated) P/FCF</t>
        </is>
      </c>
      <c r="B59" s="6">
        <f>Valuation!$H$20*Valuation!$B$58</f>
        <v/>
      </c>
    </row>
    <row r="60">
      <c r="A60" t="inlineStr">
        <is>
          <t>FY27E GAAP EPS</t>
        </is>
      </c>
      <c r="B60" s="6">
        <f>IS!E18</f>
        <v/>
      </c>
    </row>
    <row r="61">
      <c r="A61" t="inlineStr">
        <is>
          <t>Implied price at 20.0× FY27E GAAP EPS</t>
        </is>
      </c>
      <c r="B61" s="6">
        <f>B60*20</f>
        <v/>
      </c>
    </row>
    <row r="62">
      <c r="A62" t="inlineStr">
        <is>
          <t>EV / FY27E EBITDA at today's price</t>
        </is>
      </c>
      <c r="B62" s="10">
        <f>Valuation!$B$6/(IS!E11+'CF_BS'!E6)</f>
        <v/>
      </c>
    </row>
    <row r="63">
      <c r="A63" s="22" t="inlineStr">
        <is>
          <t>Notes: valuation struck at Oct 20, 2026 using the latest reported balance sheet (Q3 FY26) and share count (Sep 18, 2026). The stub Q4 FY26E free cash flow (~$3.8B, the seasonally largest quarter) is excluded from the DCF — a deliberate conservatism worth roughly $10/share. SBC is treated as a real cost throughout (it is inside FCF); nothing is added back.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2026-10-20T13:01:17+00:00Z</dcterms:created>
  <dcterms:modified xmlns:dcterms="http://purl.org/dc/terms/" xmlns:xsi="http://www.w3.org/2001/XMLSchema-instance" xsi:type="dcterms:W3CDTF">2026-10-20T13:01:17+00:00Z</dcterms:modified>
</cp:coreProperties>
</file>